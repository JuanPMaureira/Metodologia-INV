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odificación" sheetId="2" state="visible" r:id="rId2"/>
    <sheet xmlns:r="http://schemas.openxmlformats.org/officeDocument/2006/relationships" name="Libro de código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0"/>
    </font>
    <font>
      <name val="Arial"/>
      <b val="1"/>
      <color rgb="001F4E79"/>
      <sz val="11"/>
    </font>
    <font>
      <name val="Arial"/>
      <b val="1"/>
      <color rgb="00FFFFFF"/>
      <sz val="10"/>
    </font>
    <font>
      <name val="Arial"/>
      <b val="1"/>
      <sz val="10"/>
    </font>
    <font>
      <name val="Arial"/>
      <b val="1"/>
      <sz val="9"/>
    </font>
    <font>
      <name val="Arial"/>
      <color rgb="00C00000"/>
      <sz val="9"/>
    </font>
  </fonts>
  <fills count="14">
    <fill>
      <patternFill/>
    </fill>
    <fill>
      <patternFill patternType="gray125"/>
    </fill>
    <fill>
      <patternFill patternType="solid">
        <fgColor rgb="00E7E6E6"/>
      </patternFill>
    </fill>
    <fill>
      <patternFill patternType="solid">
        <fgColor rgb="00404040"/>
      </patternFill>
    </fill>
    <fill>
      <patternFill patternType="solid">
        <fgColor rgb="007F7F7F"/>
      </patternFill>
    </fill>
    <fill>
      <patternFill patternType="solid">
        <fgColor rgb="001F4E79"/>
      </patternFill>
    </fill>
    <fill>
      <patternFill patternType="solid">
        <fgColor rgb="00DDEBF7"/>
      </patternFill>
    </fill>
    <fill>
      <patternFill patternType="solid">
        <fgColor rgb="002E75B6"/>
      </patternFill>
    </fill>
    <fill>
      <patternFill patternType="solid">
        <fgColor rgb="00548235"/>
      </patternFill>
    </fill>
    <fill>
      <patternFill patternType="solid">
        <fgColor rgb="007030A0"/>
      </patternFill>
    </fill>
    <fill>
      <patternFill patternType="solid">
        <fgColor rgb="00C55A11"/>
      </patternFill>
    </fill>
    <fill>
      <patternFill patternType="solid">
        <fgColor rgb="00BF8F00"/>
      </patternFill>
    </fill>
    <fill>
      <patternFill patternType="solid">
        <fgColor rgb="00C00000"/>
      </patternFill>
    </fill>
    <fill>
      <patternFill patternType="solid">
        <fgColor rgb="00FFF9D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horizontal="right" vertical="top"/>
    </xf>
    <xf numFmtId="0" fontId="3" fillId="0" borderId="0" pivotButton="0" quotePrefix="0" xfId="0"/>
    <xf numFmtId="0" fontId="2" fillId="2" borderId="0" applyAlignment="1" pivotButton="0" quotePrefix="0" xfId="0">
      <alignment vertical="top" wrapText="1"/>
    </xf>
    <xf numFmtId="0" fontId="4" fillId="3" borderId="0" pivotButton="0" quotePrefix="0" xfId="0"/>
    <xf numFmtId="0" fontId="4" fillId="4" borderId="0" pivotButton="0" quotePrefix="0" xfId="0"/>
    <xf numFmtId="0" fontId="4" fillId="5" borderId="0" pivotButton="0" quotePrefix="0" xfId="0"/>
    <xf numFmtId="0" fontId="4" fillId="7" borderId="0" pivotButton="0" quotePrefix="0" xfId="0"/>
    <xf numFmtId="0" fontId="4" fillId="8" borderId="0" pivotButton="0" quotePrefix="0" xfId="0"/>
    <xf numFmtId="0" fontId="4" fillId="9" borderId="0" pivotButton="0" quotePrefix="0" xfId="0"/>
    <xf numFmtId="0" fontId="4" fillId="10" borderId="0" pivotButton="0" quotePrefix="0" xfId="0"/>
    <xf numFmtId="0" fontId="4" fillId="11" borderId="0" pivotButton="0" quotePrefix="0" xfId="0"/>
    <xf numFmtId="0" fontId="4" fillId="12" borderId="0" pivotButton="0" quotePrefix="0" xfId="0"/>
    <xf numFmtId="0" fontId="4" fillId="4" borderId="0" applyAlignment="1" pivotButton="0" quotePrefix="0" xfId="0">
      <alignment horizontal="center"/>
    </xf>
    <xf numFmtId="0" fontId="4" fillId="5"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4" fillId="9" borderId="0" applyAlignment="1" pivotButton="0" quotePrefix="0" xfId="0">
      <alignment horizontal="center"/>
    </xf>
    <xf numFmtId="0" fontId="4" fillId="10" borderId="0" applyAlignment="1" pivotButton="0" quotePrefix="0" xfId="0">
      <alignment horizontal="center"/>
    </xf>
    <xf numFmtId="0" fontId="4" fillId="11" borderId="0" applyAlignment="1" pivotButton="0" quotePrefix="0" xfId="0">
      <alignment horizontal="center"/>
    </xf>
    <xf numFmtId="0" fontId="5" fillId="2" borderId="0" pivotButton="0" quotePrefix="0" xfId="0"/>
    <xf numFmtId="0" fontId="6" fillId="2" borderId="0" applyAlignment="1" pivotButton="0" quotePrefix="0" xfId="0">
      <alignment horizontal="center" vertical="top" wrapText="1"/>
    </xf>
    <xf numFmtId="0" fontId="6" fillId="6" borderId="0" applyAlignment="1" pivotButton="0" quotePrefix="0" xfId="0">
      <alignment horizontal="center" vertical="top" wrapText="1"/>
    </xf>
    <xf numFmtId="0" fontId="6" fillId="6" borderId="0" applyAlignment="1" pivotButton="0" quotePrefix="0" xfId="0">
      <alignment horizontal="center" wrapText="1"/>
    </xf>
    <xf numFmtId="0" fontId="2" fillId="2" borderId="1" applyAlignment="1" pivotButton="0" quotePrefix="0" xfId="0">
      <alignment vertical="top"/>
    </xf>
    <xf numFmtId="0" fontId="2" fillId="2" borderId="1" applyAlignment="1" pivotButton="0" quotePrefix="0" xfId="0">
      <alignment vertical="top" wrapText="1"/>
    </xf>
    <xf numFmtId="0" fontId="2" fillId="13" borderId="1" applyAlignment="1" pivotButton="0" quotePrefix="0" xfId="0">
      <alignment vertical="top"/>
    </xf>
    <xf numFmtId="0" fontId="2" fillId="13" borderId="1" applyAlignment="1" pivotButton="0" quotePrefix="0" xfId="0">
      <alignment vertical="top" wrapText="1"/>
    </xf>
    <xf numFmtId="0" fontId="2" fillId="6" borderId="1" applyAlignment="1" pivotButton="0" quotePrefix="0" xfId="0">
      <alignment horizontal="center" vertical="top"/>
    </xf>
    <xf numFmtId="0" fontId="7" fillId="6" borderId="1" pivotButton="0" quotePrefix="0" xfId="0"/>
    <xf numFmtId="0" fontId="5" fillId="0" borderId="0" pivotButton="0" quotePrefix="0" xfId="0"/>
    <xf numFmtId="0" fontId="2" fillId="2" borderId="1" pivotButton="0" quotePrefix="0" xfId="0"/>
    <xf numFmtId="0" fontId="2" fillId="13" borderId="1" pivotButton="0" quotePrefix="0" xfId="0"/>
    <xf numFmtId="0" fontId="2" fillId="6"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Libro de códigos</author>
  </authors>
  <commentList>
    <comment ref="F2" authorId="0" shapeId="0">
      <text>
        <t>A05 — Elegible
Cumple los criterios de la sección 5 (E1 a E4).
Valores: 0 = no; 1 = sí</t>
      </text>
    </comment>
    <comment ref="G2" authorId="0" shapeId="0">
      <text>
        <t>A06 — Motivo de exclusión
Criterio de exclusión aplicado si A05 = 0: E1 la IA es el objeto de estudio; E2 documento que no es artículo original; E3 texto inaccesible; E4 retractado.
Valores: E1; E2; E3; E4; NA</t>
      </text>
    </comment>
    <comment ref="H2" authorId="0" shapeId="0">
      <text>
        <t>A07 — Vía de acceso
Forma de obtención del texto completo.
Valores: 1 acceso abierto; 2 suscripción UCM; 3 solicitud al autor</t>
      </text>
    </comment>
    <comment ref="I2" authorId="0" shapeId="0">
      <text>
        <t>A08 — Codificador
Iniciales del estudiante.
Valores: Texto</t>
      </text>
    </comment>
    <comment ref="J2" authorId="0" shapeId="0">
      <text>
        <t>A09 — Fecha de codificación
Fecha de revisión del artículo.
Valores: AAAA-MM-DD</t>
      </text>
    </comment>
    <comment ref="K2" authorId="0" shapeId="0">
      <text>
        <t>B22 — Tipo de estudio
Enfoque principal del estudio.
Valores: 1 cuantitativo; 2 cualitativo; 3 mixto; 4 experimental o ensayo; 5 computacional o simulación; 6 desarrollo tecnológico</t>
      </text>
    </comment>
    <comment ref="L2" authorId="0" shapeId="0">
      <text>
        <t>D01 — Declara uso de IA
Enunciado explícito de que una herramienta de IA generativa o asistida por IA se usó en el manuscrito o en la investigación (sección 7.1). Solo se codifica 0 si la búsqueda de términos y la lectura de secciones (7.2) no dieron resultado.
Valores: 0 = no; 1 = sí; 9 = ambiguo (resolver)</t>
      </text>
    </comment>
    <comment ref="M2" authorId="0" shapeId="0">
      <text>
        <t>D02 — Declara no uso
Afirma explícitamente no haber usado IA. No cuenta como declaración de uso.
Valores: 0 = no; 1 = sí</t>
      </text>
    </comment>
    <comment ref="N2" authorId="0" shapeId="0">
      <text>
        <t>D03 — Texto literal
Transcripción completa de la declaración (o de la declaración de no uso).
Valores: Texto</t>
      </text>
    </comment>
    <comment ref="O2" authorId="0" shapeId="0">
      <text>
        <t>D04 — Ubicación
Sección donde aparece la declaración principal.
Valores: 1 Métodos; 2 Agradecimientos; 3 declaración específica de IA; 4 otra declaración final; 5 suplementario; 6 otra; NA</t>
      </text>
    </comment>
    <comment ref="P2" authorId="0" shapeId="0">
      <text>
        <t>D05 — Ubicación múltiple
El uso se declara en más de una sección.
Valores: 0 = no; 1 = sí; NA</t>
      </text>
    </comment>
    <comment ref="Q2" authorId="0" shapeId="0">
      <text>
        <t>D06 — Extensión (palabras)
Número de palabras de D03. Se calcula sola.
Valores: Entero</t>
      </text>
    </comment>
    <comment ref="R2" authorId="0" shapeId="0">
      <text>
        <t>D07 — Plantilla editorial
La redacción reproduce una plantilla de la editorial.
Valores: 0 = no; 1 = sí; NA</t>
      </text>
    </comment>
    <comment ref="S2" authorId="0" shapeId="0">
      <text>
        <t>E01 — N.º de herramientas
Herramientas distintas declaradas.
Valores: Entero (NA si D01 = 0)</t>
      </text>
    </comment>
    <comment ref="T2" authorId="0" shapeId="0">
      <text>
        <t>E02 — Herramienta 1
Nombre literal de la herramienta.
Valores: Texto; NA</t>
      </text>
    </comment>
    <comment ref="U2" authorId="0" shapeId="0">
      <text>
        <t>E03 — Herramienta 2
Nombre literal.
Valores: Texto; NA</t>
      </text>
    </comment>
    <comment ref="V2" authorId="0" shapeId="0">
      <text>
        <t>E04 — Herramienta 3
Nombre literal.
Valores: Texto; NA</t>
      </text>
    </comment>
    <comment ref="W2" authorId="0" shapeId="0">
      <text>
        <t>E05 — Tipo de herramienta
Clasificación de E02.
Valores: 1 LLM conversacional; 2 asistente de escritura; 3 traductor; 4 asistente de código; 5 búsqueda o síntesis bibliográfica; 6 generador de imágenes; 7 otro; 8 no identificada; NA</t>
      </text>
    </comment>
    <comment ref="X2" authorId="0" shapeId="0">
      <text>
        <t>E06 — Desarrollador
Empresa de la herramienta principal.
Valores: Texto; NA</t>
      </text>
    </comment>
    <comment ref="Y2" authorId="0" shapeId="0">
      <text>
        <t>E07 — Declara modelo/versión
Informa modelo o versión.
Valores: 0 = no; 1 = sí; NA</t>
      </text>
    </comment>
    <comment ref="Z2" authorId="0" shapeId="0">
      <text>
        <t>E08 — Modelo o versión
Texto literal.
Valores: Texto; NA</t>
      </text>
    </comment>
    <comment ref="AA2" authorId="0" shapeId="0">
      <text>
        <t>E09 — Declara fecha de uso
Informa fecha o periodo de uso.
Valores: 0 = no; 1 = sí; NA</t>
      </text>
    </comment>
    <comment ref="AB2" authorId="0" shapeId="0">
      <text>
        <t>E10 — IA generativa
La herramienta principal es generativa.
Valores: 0 = no; 1 = sí; 9 = incierto; NA</t>
      </text>
    </comment>
    <comment ref="AC2" authorId="0" shapeId="0">
      <text>
        <t>F01 — Corrección gramatical
Proofreading, grammar, spelling. Etapa 1.
Valores: 0 = no; 1 = sí; NA</t>
      </text>
    </comment>
    <comment ref="AD2" authorId="0" shapeId="0">
      <text>
        <t>F02 — Estilo o legibilidad
Readability, language editing, clarity. Etapa 1.
Valores: 0 = no; 1 = sí; NA</t>
      </text>
    </comment>
    <comment ref="AE2" authorId="0" shapeId="0">
      <text>
        <t>F03 — Traducción
Traducción total o parcial. Etapa 1.
Valores: 0 = no; 1 = sí; NA</t>
      </text>
    </comment>
    <comment ref="AF2" authorId="0" shapeId="0">
      <text>
        <t>F04 — Reescritura o paráfrasis
Reformular texto de los autores. Etapa 2.
Valores: 0 = no; 1 = sí; NA</t>
      </text>
    </comment>
    <comment ref="AG2" authorId="0" shapeId="0">
      <text>
        <t>F05 — Redacción de fragmentos
Generar texto nuevo del manuscrito. Etapa 2.
Valores: 0 = no; 1 = sí; NA</t>
      </text>
    </comment>
    <comment ref="AH2" authorId="0" shapeId="0">
      <text>
        <t>F06 — Síntesis de literatura
Resumir artículos o antecedentes. Etapa 2.
Valores: 0 = no; 1 = sí; NA</t>
      </text>
    </comment>
    <comment ref="AI2" authorId="0" shapeId="0">
      <text>
        <t>F07 — Búsqueda bibliográfica
Identificar o seleccionar fuentes. Etapa 2.
Valores: 0 = no; 1 = sí; NA</t>
      </text>
    </comment>
    <comment ref="AJ2" authorId="0" shapeId="0">
      <text>
        <t>F08 — Ideas o hipótesis
Generar preguntas, ideas o hipótesis. Etapa 5.
Valores: 0 = no; 1 = sí; NA</t>
      </text>
    </comment>
    <comment ref="AK2" authorId="0" shapeId="0">
      <text>
        <t>F09 — Programación
Escribir, depurar u optimizar código. Etapa 3.
Valores: 0 = no; 1 = sí; NA</t>
      </text>
    </comment>
    <comment ref="AL2" authorId="0" shapeId="0">
      <text>
        <t>F10 — Análisis de datos
Procesar, analizar o codificar datos, incluida la codificación cualitativa. Etapa 4.
Valores: 0 = no; 1 = sí; NA</t>
      </text>
    </comment>
    <comment ref="AM2" authorId="0" shapeId="0">
      <text>
        <t>F11 — Figuras o visualización
Generar o editar figuras. Etapa 3.
Valores: 0 = no; 1 = sí; NA</t>
      </text>
    </comment>
    <comment ref="AN2" authorId="0" shapeId="0">
      <text>
        <t>F12 — Interpretación
Interpretar o explicar resultados. Etapa 5.
Valores: 0 = no; 1 = sí; NA</t>
      </text>
    </comment>
    <comment ref="AO2" authorId="0" shapeId="0">
      <text>
        <t>F13 — Diseño metodológico
Diseñar estudio, instrumento o protocolo. Etapa 4.
Valores: 0 = no; 1 = sí; NA</t>
      </text>
    </comment>
    <comment ref="AP2" authorId="0" shapeId="0">
      <text>
        <t>F14 — Tablas y referencias
Formatear tablas o referencias. Etapa 3.
Valores: 0 = no; 1 = sí; NA</t>
      </text>
    </comment>
    <comment ref="AQ2" authorId="0" shapeId="0">
      <text>
        <t>F15 — Propósito no especificado
Declara uso sin indicar para qué (no basta "to prepare the manuscript"). Código 9 de D_IA.
Valores: 0 = no; 1 = sí; NA</t>
      </text>
    </comment>
    <comment ref="AR2" authorId="0" shapeId="0">
      <text>
        <t>F16 — Otro uso
Uso no previsto en F01 a F15; describir en F16_txt y llevarlo a la bitácora.
Valores: 0 = no; 1 = sí; NA</t>
      </text>
    </comment>
    <comment ref="AS2" authorId="0" shapeId="0">
      <text>
        <t>F16_txt — Otro uso (texto)
Descripción del uso no previsto.
Valores: Texto; NA</t>
      </text>
    </comment>
    <comment ref="AT2" authorId="0" shapeId="0">
      <text>
        <t>G06 — D_IA (profundidad)
Etapa más profunda declarada (sección 7.3). Se calcula sola desde el bloque F.
Valores: 0 a 5; 9</t>
      </text>
    </comment>
    <comment ref="AU2" authorId="0" shapeId="0">
      <text>
        <t>G07 — A_IA (amplitud)
Número de usos distintos (F01 a F14). Se calcula sola.
Valores: 0 a 14</t>
      </text>
    </comment>
    <comment ref="AV2" authorId="0" shapeId="0">
      <text>
        <t>H01 — T: herramienta
Identifica la herramienta por su nombre.
Valores: 0; 1; NA</t>
      </text>
    </comment>
    <comment ref="AW2" authorId="0" shapeId="0">
      <text>
        <t>H02 — V: versión
Identifica modelo o versión (debe coincidir con E07).
Valores: 0; 1; NA</t>
      </text>
    </comment>
    <comment ref="AX2" authorId="0" shapeId="0">
      <text>
        <t>H03 — P: propósito
Especifica el propósito del uso (no basta "to prepare the manuscript").
Valores: 0; 1; NA</t>
      </text>
    </comment>
    <comment ref="AY2" authorId="0" shapeId="0">
      <text>
        <t>H04 — E: extensión
Especifica la extensión: secciones, tareas o partes afectadas.
Valores: 0; 1; NA</t>
      </text>
    </comment>
    <comment ref="AZ2" authorId="0" shapeId="0">
      <text>
        <t>H05 — S: supervisión
Declara supervisión humana (revisión, edición o verificación).
Valores: 0; 1; NA</t>
      </text>
    </comment>
    <comment ref="BA2" authorId="0" shapeId="0">
      <text>
        <t>H06 — Responsabilidad
Los autores asumen explícitamente la responsabilidad del contenido.
Valores: 0; 1; NA</t>
      </text>
    </comment>
    <comment ref="BB2" authorId="0" shapeId="0">
      <text>
        <t>H07 — Prompts disponibles
Informa o adjunta los prompts o interacciones.
Valores: 0; 1; NA</t>
      </text>
    </comment>
    <comment ref="BC2" authorId="0" shapeId="0">
      <text>
        <t>H08 — Q_IA
Suma de H01 a H05. Se calcula sola.
Valores: 0 a 5</t>
      </text>
    </comment>
    <comment ref="BD2" authorId="0" shapeId="0">
      <text>
        <t>XE1 — Subárea
Subárea dentro de Educación.
Valores: 1 investigación educativa general; 2 educación en disciplinas científicas; 3 educación especial; 4 psicología educacional</t>
      </text>
    </comment>
    <comment ref="BE2" authorId="0" shapeId="0">
      <text>
        <t>XE2 — Nivel educativo
Nivel educativo estudiado.
Valores: 1 escolar; 2 superior; 3 formación docente; 4 otro</t>
      </text>
    </comment>
    <comment ref="BF2" authorId="0" shapeId="0">
      <text>
        <t>XE3 — Enfoque de datos
Tipo de datos del estudio.
Valores: 1 encuesta o test; 2 entrevistas o grupos focales; 3 observación o documentos; 4 datos de plataformas; 5 mixto</t>
      </text>
    </comment>
    <comment ref="BG2" authorId="0" shapeId="0">
      <text>
        <t>J01 — Duda de codificación
Variable y motivo de la duda.
Valores: Texto</t>
      </text>
    </comment>
    <comment ref="BH2" authorId="0" shapeId="0">
      <text>
        <t>J02 — Observación
Información relevante no prevista en el libro de códigos.
Valores: Texto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23"/>
  <sheetViews>
    <sheetView showGridLines="0" workbookViewId="0">
      <selection activeCell="A1" sqref="A1"/>
    </sheetView>
  </sheetViews>
  <sheetFormatPr baseColWidth="8" defaultRowHeight="15"/>
  <cols>
    <col width="4" customWidth="1" min="1" max="1"/>
    <col width="110" customWidth="1" min="2" max="2"/>
  </cols>
  <sheetData>
    <row r="1" ht="22" customHeight="1">
      <c r="B1" s="1" t="inlineStr">
        <is>
          <t>Calibración intraequipo — Área Educación — Codificador: MSC</t>
        </is>
      </c>
    </row>
    <row r="2" ht="30" customHeight="1">
      <c r="B2" s="2" t="inlineStr">
        <is>
          <t>Entrega 2 (E2). Codifica de forma independiente los 20 artículos de la hoja "Codificación". No consultes a tu compañero hasta que ambos hayan terminado.</t>
        </is>
      </c>
    </row>
    <row r="3" ht="15" customHeight="1">
      <c r="B3" s="3" t="inlineStr">
        <is>
          <t>Cómo usar la planilla</t>
        </is>
      </c>
    </row>
    <row r="4" ht="30" customHeight="1">
      <c r="A4" s="4" t="inlineStr">
        <is>
          <t>•</t>
        </is>
      </c>
      <c r="B4" s="2" t="inlineStr">
        <is>
          <t>Llena solo las celdas amarillas. Las grises vienen precargadas y las azules se calculan solas (D06, G06, G07, H08).</t>
        </is>
      </c>
    </row>
    <row r="5" ht="30" customHeight="1">
      <c r="A5" s="4" t="inlineStr">
        <is>
          <t>•</t>
        </is>
      </c>
      <c r="B5" s="2" t="inlineStr">
        <is>
          <t>La codificación es exclusivamente humana: no uses IA para decidir los códigos (sección 12 del enunciado).</t>
        </is>
      </c>
    </row>
    <row r="6" ht="75" customHeight="1">
      <c r="A6" s="4" t="inlineStr">
        <is>
          <t>•</t>
        </is>
      </c>
      <c r="B6" s="2" t="inlineStr">
        <is>
          <t>Para cada artículo: (1) busca en el texto completo los términos del punto 7.2 del enunciado (AI, artificial intelligence, generative, ChatGPT, GPT, OpenAI, LLM, language model, Claude, Gemini, Bard, Copilot, Grammarly, DeepL, QuillBot, Writefull, Perplexity, Elicit, Consensus, Scite, Midjourney, DALL, inteligencia artificial, IA); (2) lee Métodos, Agradecimientos, las declaraciones finales (conflictos de interés, contribuciones, financiamiento, datos, declaración de IA) y el material suplementario.</t>
        </is>
      </c>
    </row>
    <row r="7" ht="30" customHeight="1">
      <c r="A7" s="4" t="inlineStr">
        <is>
          <t>•</t>
        </is>
      </c>
      <c r="B7" s="2" t="inlineStr">
        <is>
          <t>D01 = 0 solo si ambas operaciones se hicieron sin resultado. Si dudas, codifica D01 = 9 y anótalo en J01.</t>
        </is>
      </c>
    </row>
    <row r="8" ht="30" customHeight="1">
      <c r="A8" s="4" t="inlineStr">
        <is>
          <t>•</t>
        </is>
      </c>
      <c r="B8" s="2" t="inlineStr">
        <is>
          <t>Valores faltantes: NA = no aplica; 99 = dato no informado en el artículo (por ejemplo, fechas). No dejes celdas en blanco en un artículo ya codificado.</t>
        </is>
      </c>
    </row>
    <row r="9" ht="15" customHeight="1">
      <c r="A9" s="4" t="inlineStr">
        <is>
          <t>•</t>
        </is>
      </c>
      <c r="B9" s="2" t="inlineStr">
        <is>
          <t>Si D01 = 0 (o D02 = 1 y no hay uso): codifica NA en los bloques E, F y H. G06 se calcula como 0.</t>
        </is>
      </c>
    </row>
    <row r="10" ht="60" customHeight="1">
      <c r="A10" s="4" t="inlineStr">
        <is>
          <t>•</t>
        </is>
      </c>
      <c r="B10" s="2" t="inlineStr">
        <is>
          <t>Si A05 = 0 (no elegible): completa solo A05, A06 y A07 y deja el resto vacío. Criterios de exclusión (sección 5.2): E1 la IA generativa o los modelos de lenguaje son el objeto de estudio; E2 tipo de documento distinto de artículo original; E3 texto completo inaccesible tras las tres vías de acceso; E4 artículo retractado.</t>
        </is>
      </c>
    </row>
    <row r="11" ht="30" customHeight="1">
      <c r="A11" s="4" t="inlineStr">
        <is>
          <t>•</t>
        </is>
      </c>
      <c r="B11" s="2" t="inlineStr">
        <is>
          <t>La columna "Revisión automática" avisa de inconsistencias (D01 y D02 ambos en 1; D01 = 0 con valores en E o F; H01 = 1 sin E02; H02 distinto de E07; D01 = 1 sin texto en D03).</t>
        </is>
      </c>
    </row>
    <row r="12" ht="15" customHeight="1">
      <c r="A12" s="4" t="inlineStr">
        <is>
          <t>•</t>
        </is>
      </c>
      <c r="B12" s="2" t="inlineStr">
        <is>
          <t>Cualquier uso no previsto va en F16 y F16_txt, y se lleva a la bitácora de desacuerdos.</t>
        </is>
      </c>
    </row>
    <row r="13" ht="30" customHeight="1">
      <c r="A13" s="4" t="inlineStr">
        <is>
          <t>•</t>
        </is>
      </c>
      <c r="B13" s="2" t="inlineStr">
        <is>
          <t>Las variables bibliográficas (bloque B) y la política editorial (bloque C) no se calibran aquí; se completan desde WoS en E3. Se incluye B22 (tipo de estudio) porque condiciona XE3.</t>
        </is>
      </c>
    </row>
    <row r="14" ht="15" customHeight="1">
      <c r="B14" s="3" t="inlineStr">
        <is>
          <t>Qué cuenta como declaración (sección 7.1)</t>
        </is>
      </c>
    </row>
    <row r="15" ht="45" customHeight="1">
      <c r="A15" s="4" t="inlineStr">
        <is>
          <t>•</t>
        </is>
      </c>
      <c r="B15" s="2" t="inlineStr">
        <is>
          <t>Cuenta: "ChatGPT was used to improve the language of the manuscript"; "We used GPT-4o to assist in writing the R code"; "DeepL was used for translation"; "Grammarly was used for proofreading"; un LLM usado para codificar respuestas abiertas, descrito en Métodos.</t>
        </is>
      </c>
    </row>
    <row r="16" ht="30" customHeight="1">
      <c r="A16" s="4" t="inlineStr">
        <is>
          <t>•</t>
        </is>
      </c>
      <c r="B16" s="2" t="inlineStr">
        <is>
          <t>No cuenta: modelos de aprendizaje automático usados como método del estudio, software estadístico convencional, y menciones a IA en introducción o discusión sin relación con la producción del propio artículo.</t>
        </is>
      </c>
    </row>
    <row r="17" ht="15" customHeight="1">
      <c r="A17" s="4" t="inlineStr">
        <is>
          <t>•</t>
        </is>
      </c>
      <c r="B17" s="2" t="inlineStr">
        <is>
          <t>Declaración de no uso ("The authors did not use generative AI tools"): D02 = 1, D01 = 0.</t>
        </is>
      </c>
    </row>
    <row r="18" ht="15" customHeight="1">
      <c r="B18" s="3" t="inlineStr">
        <is>
          <t>Al terminar</t>
        </is>
      </c>
    </row>
    <row r="19" ht="30" customHeight="1">
      <c r="A19" s="4" t="inlineStr">
        <is>
          <t>•</t>
        </is>
      </c>
      <c r="B19" s="2" t="inlineStr">
        <is>
          <t>Guarda el archivo con el nombre plantilla_codificacion_calibracion_EDU_MSC.xlsx, completa A09 (fecha) en cada fila y entrega la hoja "Codificación" para calcular el acuerdo.</t>
        </is>
      </c>
    </row>
    <row r="20" ht="30" customHeight="1">
      <c r="A20" s="4" t="inlineStr">
        <is>
          <t>•</t>
        </is>
      </c>
      <c r="B20" s="2" t="inlineStr">
        <is>
          <t>Coloca el cursor sobre el código de cada columna (fila 2) para ver su definición y sus valores. El detalle completo está en la hoja "Libro de códigos".</t>
        </is>
      </c>
    </row>
    <row r="22">
      <c r="B22" s="5" t="inlineStr">
        <is>
          <t>Ejemplo ilustrativo de llenado (ficticio; no corresponde a ninguno de los 20 artículos)</t>
        </is>
      </c>
    </row>
    <row r="23" ht="62" customHeight="1">
      <c r="B23" s="6" t="inlineStr">
        <is>
          <t>Declaración: "ChatGPT was used to improve the language of the manuscript" en Agradecimientos. D01 = 1; D02 = 0; D03 = el texto literal; D04 = 2; D05 = 0; D07 = 0; E01 = 1; E02 = ChatGPT; E05 = 1; E06 = OpenAI; E07 = 0; E08 = NA; E09 = 0; E10 = 1; F02 = 1 y el resto de F = 0; G06 se calcula como 1; H01 = 1, H02 = 0, H03 = 1, H04 = 0, H05 = 0, H06 = 0, H07 = 0; H08 (Q_IA) se calcula como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8"/>
  <sheetViews>
    <sheetView zoomScale="90"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46" customWidth="1" min="3" max="3"/>
    <col width="20" customWidth="1" min="4" max="4"/>
    <col width="24" customWidth="1" min="5" max="5"/>
    <col width="11" customWidth="1" min="6" max="6"/>
    <col width="11" customWidth="1" min="7" max="7"/>
    <col width="11" customWidth="1" min="8" max="8"/>
    <col width="10" customWidth="1" min="9" max="9"/>
    <col width="12" customWidth="1" min="10" max="10"/>
    <col width="11" customWidth="1" min="11" max="11"/>
    <col width="11" customWidth="1" min="12" max="12"/>
    <col width="11" customWidth="1" min="13" max="13"/>
    <col width="50" customWidth="1" min="14" max="14"/>
    <col width="11" customWidth="1" min="15" max="15"/>
    <col width="11" customWidth="1" min="16" max="16"/>
    <col width="11" customWidth="1" min="17" max="17"/>
    <col width="11" customWidth="1" min="18" max="18"/>
    <col width="11" customWidth="1" min="19" max="19"/>
    <col width="16" customWidth="1" min="20" max="20"/>
    <col width="16" customWidth="1" min="21" max="21"/>
    <col width="16" customWidth="1" min="22" max="22"/>
    <col width="11" customWidth="1" min="23" max="23"/>
    <col width="14" customWidth="1" min="24" max="24"/>
    <col width="11" customWidth="1" min="25" max="25"/>
    <col width="16"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24"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30" customWidth="1" min="59" max="59"/>
    <col width="30" customWidth="1" min="60" max="60"/>
    <col width="42" customWidth="1" min="61" max="61"/>
  </cols>
  <sheetData>
    <row r="1">
      <c r="A1" s="7" t="inlineStr">
        <is>
          <t>Artículo (precargado desde WoS)</t>
        </is>
      </c>
      <c r="B1" s="7" t="n"/>
      <c r="C1" s="7" t="n"/>
      <c r="D1" s="7" t="n"/>
      <c r="E1" s="7" t="n"/>
      <c r="F1" s="8" t="inlineStr">
        <is>
          <t>Control</t>
        </is>
      </c>
      <c r="G1" s="8" t="n"/>
      <c r="H1" s="8" t="n"/>
      <c r="I1" s="8" t="n"/>
      <c r="J1" s="8" t="n"/>
      <c r="K1" s="8" t="n"/>
      <c r="L1" s="9" t="inlineStr">
        <is>
          <t>D. Declaración</t>
        </is>
      </c>
      <c r="M1" s="9" t="n"/>
      <c r="N1" s="9" t="n"/>
      <c r="O1" s="9" t="n"/>
      <c r="P1" s="9" t="n"/>
      <c r="Q1" s="9" t="n"/>
      <c r="R1" s="9" t="n"/>
      <c r="S1" s="10" t="inlineStr">
        <is>
          <t>E. Herramienta</t>
        </is>
      </c>
      <c r="T1" s="10" t="n"/>
      <c r="U1" s="10" t="n"/>
      <c r="V1" s="10" t="n"/>
      <c r="W1" s="10" t="n"/>
      <c r="X1" s="10" t="n"/>
      <c r="Y1" s="10" t="n"/>
      <c r="Z1" s="10" t="n"/>
      <c r="AA1" s="10" t="n"/>
      <c r="AB1" s="10" t="n"/>
      <c r="AC1" s="11" t="inlineStr">
        <is>
          <t>F. Usos declarados (0 = no, 1 = sí)</t>
        </is>
      </c>
      <c r="AD1" s="11" t="n"/>
      <c r="AE1" s="11" t="n"/>
      <c r="AF1" s="11" t="n"/>
      <c r="AG1" s="11" t="n"/>
      <c r="AH1" s="11" t="n"/>
      <c r="AI1" s="11" t="n"/>
      <c r="AJ1" s="11" t="n"/>
      <c r="AK1" s="11" t="n"/>
      <c r="AL1" s="11" t="n"/>
      <c r="AM1" s="11" t="n"/>
      <c r="AN1" s="11" t="n"/>
      <c r="AO1" s="11" t="n"/>
      <c r="AP1" s="11" t="n"/>
      <c r="AQ1" s="11" t="n"/>
      <c r="AR1" s="11" t="n"/>
      <c r="AS1" s="11" t="n"/>
      <c r="AT1" s="12" t="inlineStr">
        <is>
          <t>G. Profundidad</t>
        </is>
      </c>
      <c r="AU1" s="12" t="n"/>
      <c r="AV1" s="13" t="inlineStr">
        <is>
          <t>H. Calidad</t>
        </is>
      </c>
      <c r="AW1" s="13" t="n"/>
      <c r="AX1" s="13" t="n"/>
      <c r="AY1" s="13" t="n"/>
      <c r="AZ1" s="13" t="n"/>
      <c r="BA1" s="13" t="n"/>
      <c r="BB1" s="13" t="n"/>
      <c r="BC1" s="13" t="n"/>
      <c r="BD1" s="14" t="inlineStr">
        <is>
          <t>X. Educación</t>
        </is>
      </c>
      <c r="BE1" s="14" t="n"/>
      <c r="BF1" s="14" t="n"/>
      <c r="BG1" s="8" t="inlineStr">
        <is>
          <t>J. Observaciones</t>
        </is>
      </c>
      <c r="BH1" s="8" t="n"/>
      <c r="BI1" s="15" t="inlineStr">
        <is>
          <t>Control</t>
        </is>
      </c>
    </row>
    <row r="2">
      <c r="A2" s="7" t="inlineStr">
        <is>
          <t>orden</t>
        </is>
      </c>
      <c r="B2" s="7" t="inlineStr">
        <is>
          <t>B02_DOI</t>
        </is>
      </c>
      <c r="C2" s="7" t="inlineStr">
        <is>
          <t>B03_titulo</t>
        </is>
      </c>
      <c r="D2" s="7" t="inlineStr">
        <is>
          <t>B01_UT</t>
        </is>
      </c>
      <c r="E2" s="7" t="inlineStr">
        <is>
          <t>B07_revista</t>
        </is>
      </c>
      <c r="F2" s="16" t="inlineStr">
        <is>
          <t>A05</t>
        </is>
      </c>
      <c r="G2" s="16" t="inlineStr">
        <is>
          <t>A06</t>
        </is>
      </c>
      <c r="H2" s="16" t="inlineStr">
        <is>
          <t>A07</t>
        </is>
      </c>
      <c r="I2" s="16" t="inlineStr">
        <is>
          <t>A08</t>
        </is>
      </c>
      <c r="J2" s="16" t="inlineStr">
        <is>
          <t>A09</t>
        </is>
      </c>
      <c r="K2" s="16" t="inlineStr">
        <is>
          <t>B22</t>
        </is>
      </c>
      <c r="L2" s="17" t="inlineStr">
        <is>
          <t>D01</t>
        </is>
      </c>
      <c r="M2" s="17" t="inlineStr">
        <is>
          <t>D02</t>
        </is>
      </c>
      <c r="N2" s="17" t="inlineStr">
        <is>
          <t>D03</t>
        </is>
      </c>
      <c r="O2" s="17" t="inlineStr">
        <is>
          <t>D04</t>
        </is>
      </c>
      <c r="P2" s="17" t="inlineStr">
        <is>
          <t>D05</t>
        </is>
      </c>
      <c r="Q2" s="17" t="inlineStr">
        <is>
          <t>D06</t>
        </is>
      </c>
      <c r="R2" s="17" t="inlineStr">
        <is>
          <t>D07</t>
        </is>
      </c>
      <c r="S2" s="18" t="inlineStr">
        <is>
          <t>E01</t>
        </is>
      </c>
      <c r="T2" s="18" t="inlineStr">
        <is>
          <t>E02</t>
        </is>
      </c>
      <c r="U2" s="18" t="inlineStr">
        <is>
          <t>E03</t>
        </is>
      </c>
      <c r="V2" s="18" t="inlineStr">
        <is>
          <t>E04</t>
        </is>
      </c>
      <c r="W2" s="18" t="inlineStr">
        <is>
          <t>E05</t>
        </is>
      </c>
      <c r="X2" s="18" t="inlineStr">
        <is>
          <t>E06</t>
        </is>
      </c>
      <c r="Y2" s="18" t="inlineStr">
        <is>
          <t>E07</t>
        </is>
      </c>
      <c r="Z2" s="18" t="inlineStr">
        <is>
          <t>E08</t>
        </is>
      </c>
      <c r="AA2" s="18" t="inlineStr">
        <is>
          <t>E09</t>
        </is>
      </c>
      <c r="AB2" s="18" t="inlineStr">
        <is>
          <t>E10</t>
        </is>
      </c>
      <c r="AC2" s="19" t="inlineStr">
        <is>
          <t>F01</t>
        </is>
      </c>
      <c r="AD2" s="19" t="inlineStr">
        <is>
          <t>F02</t>
        </is>
      </c>
      <c r="AE2" s="19" t="inlineStr">
        <is>
          <t>F03</t>
        </is>
      </c>
      <c r="AF2" s="19" t="inlineStr">
        <is>
          <t>F04</t>
        </is>
      </c>
      <c r="AG2" s="19" t="inlineStr">
        <is>
          <t>F05</t>
        </is>
      </c>
      <c r="AH2" s="19" t="inlineStr">
        <is>
          <t>F06</t>
        </is>
      </c>
      <c r="AI2" s="19" t="inlineStr">
        <is>
          <t>F07</t>
        </is>
      </c>
      <c r="AJ2" s="19" t="inlineStr">
        <is>
          <t>F08</t>
        </is>
      </c>
      <c r="AK2" s="19" t="inlineStr">
        <is>
          <t>F09</t>
        </is>
      </c>
      <c r="AL2" s="19" t="inlineStr">
        <is>
          <t>F10</t>
        </is>
      </c>
      <c r="AM2" s="19" t="inlineStr">
        <is>
          <t>F11</t>
        </is>
      </c>
      <c r="AN2" s="19" t="inlineStr">
        <is>
          <t>F12</t>
        </is>
      </c>
      <c r="AO2" s="19" t="inlineStr">
        <is>
          <t>F13</t>
        </is>
      </c>
      <c r="AP2" s="19" t="inlineStr">
        <is>
          <t>F14</t>
        </is>
      </c>
      <c r="AQ2" s="19" t="inlineStr">
        <is>
          <t>F15</t>
        </is>
      </c>
      <c r="AR2" s="19" t="inlineStr">
        <is>
          <t>F16</t>
        </is>
      </c>
      <c r="AS2" s="19" t="inlineStr">
        <is>
          <t>F16_txt</t>
        </is>
      </c>
      <c r="AT2" s="20" t="inlineStr">
        <is>
          <t>G06</t>
        </is>
      </c>
      <c r="AU2" s="20" t="inlineStr">
        <is>
          <t>G07</t>
        </is>
      </c>
      <c r="AV2" s="21" t="inlineStr">
        <is>
          <t>H01</t>
        </is>
      </c>
      <c r="AW2" s="21" t="inlineStr">
        <is>
          <t>H02</t>
        </is>
      </c>
      <c r="AX2" s="21" t="inlineStr">
        <is>
          <t>H03</t>
        </is>
      </c>
      <c r="AY2" s="21" t="inlineStr">
        <is>
          <t>H04</t>
        </is>
      </c>
      <c r="AZ2" s="21" t="inlineStr">
        <is>
          <t>H05</t>
        </is>
      </c>
      <c r="BA2" s="21" t="inlineStr">
        <is>
          <t>H06</t>
        </is>
      </c>
      <c r="BB2" s="21" t="inlineStr">
        <is>
          <t>H07</t>
        </is>
      </c>
      <c r="BC2" s="21" t="inlineStr">
        <is>
          <t>H08</t>
        </is>
      </c>
      <c r="BD2" s="22" t="inlineStr">
        <is>
          <t>XE1</t>
        </is>
      </c>
      <c r="BE2" s="22" t="inlineStr">
        <is>
          <t>XE2</t>
        </is>
      </c>
      <c r="BF2" s="22" t="inlineStr">
        <is>
          <t>XE3</t>
        </is>
      </c>
      <c r="BG2" s="16" t="inlineStr">
        <is>
          <t>J01</t>
        </is>
      </c>
      <c r="BH2" s="16" t="inlineStr">
        <is>
          <t>J02</t>
        </is>
      </c>
      <c r="BI2" s="15" t="inlineStr">
        <is>
          <t>REVISION</t>
        </is>
      </c>
    </row>
    <row r="3" ht="40" customHeight="1">
      <c r="A3" s="23" t="inlineStr">
        <is>
          <t>N.º</t>
        </is>
      </c>
      <c r="B3" s="23" t="inlineStr">
        <is>
          <t>B02 DOI</t>
        </is>
      </c>
      <c r="C3" s="23" t="inlineStr">
        <is>
          <t>B03 Título</t>
        </is>
      </c>
      <c r="D3" s="23" t="inlineStr">
        <is>
          <t>B01 UT</t>
        </is>
      </c>
      <c r="E3" s="23" t="inlineStr">
        <is>
          <t>B07 Revista</t>
        </is>
      </c>
      <c r="F3" s="24" t="inlineStr">
        <is>
          <t>Elegible</t>
        </is>
      </c>
      <c r="G3" s="24" t="inlineStr">
        <is>
          <t>Motivo de exclusión</t>
        </is>
      </c>
      <c r="H3" s="24" t="inlineStr">
        <is>
          <t>Vía de acceso</t>
        </is>
      </c>
      <c r="I3" s="24" t="inlineStr">
        <is>
          <t>Codificador</t>
        </is>
      </c>
      <c r="J3" s="24" t="inlineStr">
        <is>
          <t>Fecha de codificación</t>
        </is>
      </c>
      <c r="K3" s="24" t="inlineStr">
        <is>
          <t>Tipo de estudio</t>
        </is>
      </c>
      <c r="L3" s="24" t="inlineStr">
        <is>
          <t>Declara uso de IA</t>
        </is>
      </c>
      <c r="M3" s="24" t="inlineStr">
        <is>
          <t>Declara no uso</t>
        </is>
      </c>
      <c r="N3" s="24" t="inlineStr">
        <is>
          <t>Texto literal</t>
        </is>
      </c>
      <c r="O3" s="24" t="inlineStr">
        <is>
          <t>Ubicación</t>
        </is>
      </c>
      <c r="P3" s="24" t="inlineStr">
        <is>
          <t>Ubicación múltiple</t>
        </is>
      </c>
      <c r="Q3" s="25" t="inlineStr">
        <is>
          <t>Extensión (palabras)</t>
        </is>
      </c>
      <c r="R3" s="24" t="inlineStr">
        <is>
          <t>Plantilla editorial</t>
        </is>
      </c>
      <c r="S3" s="24" t="inlineStr">
        <is>
          <t>N.º de herramientas</t>
        </is>
      </c>
      <c r="T3" s="24" t="inlineStr">
        <is>
          <t>Herramienta 1</t>
        </is>
      </c>
      <c r="U3" s="24" t="inlineStr">
        <is>
          <t>Herramienta 2</t>
        </is>
      </c>
      <c r="V3" s="24" t="inlineStr">
        <is>
          <t>Herramienta 3</t>
        </is>
      </c>
      <c r="W3" s="24" t="inlineStr">
        <is>
          <t>Tipo de herramienta</t>
        </is>
      </c>
      <c r="X3" s="24" t="inlineStr">
        <is>
          <t>Desarrollador</t>
        </is>
      </c>
      <c r="Y3" s="24" t="inlineStr">
        <is>
          <t>Declara modelo/versión</t>
        </is>
      </c>
      <c r="Z3" s="24" t="inlineStr">
        <is>
          <t>Modelo o versión</t>
        </is>
      </c>
      <c r="AA3" s="24" t="inlineStr">
        <is>
          <t>Declara fecha de uso</t>
        </is>
      </c>
      <c r="AB3" s="24" t="inlineStr">
        <is>
          <t>IA generativa</t>
        </is>
      </c>
      <c r="AC3" s="24" t="inlineStr">
        <is>
          <t>Corrección gramatical</t>
        </is>
      </c>
      <c r="AD3" s="24" t="inlineStr">
        <is>
          <t>Estilo o legibilidad</t>
        </is>
      </c>
      <c r="AE3" s="24" t="inlineStr">
        <is>
          <t>Traducción</t>
        </is>
      </c>
      <c r="AF3" s="24" t="inlineStr">
        <is>
          <t>Reescritura o paráfrasis</t>
        </is>
      </c>
      <c r="AG3" s="24" t="inlineStr">
        <is>
          <t>Redacción de fragmentos</t>
        </is>
      </c>
      <c r="AH3" s="24" t="inlineStr">
        <is>
          <t>Síntesis de literatura</t>
        </is>
      </c>
      <c r="AI3" s="24" t="inlineStr">
        <is>
          <t>Búsqueda bibliográfica</t>
        </is>
      </c>
      <c r="AJ3" s="24" t="inlineStr">
        <is>
          <t>Ideas o hipótesis</t>
        </is>
      </c>
      <c r="AK3" s="24" t="inlineStr">
        <is>
          <t>Programación</t>
        </is>
      </c>
      <c r="AL3" s="24" t="inlineStr">
        <is>
          <t>Análisis de datos</t>
        </is>
      </c>
      <c r="AM3" s="24" t="inlineStr">
        <is>
          <t>Figuras o visualización</t>
        </is>
      </c>
      <c r="AN3" s="24" t="inlineStr">
        <is>
          <t>Interpretación</t>
        </is>
      </c>
      <c r="AO3" s="24" t="inlineStr">
        <is>
          <t>Diseño metodológico</t>
        </is>
      </c>
      <c r="AP3" s="24" t="inlineStr">
        <is>
          <t>Tablas y referencias</t>
        </is>
      </c>
      <c r="AQ3" s="24" t="inlineStr">
        <is>
          <t>Propósito no especificado</t>
        </is>
      </c>
      <c r="AR3" s="24" t="inlineStr">
        <is>
          <t>Otro uso</t>
        </is>
      </c>
      <c r="AS3" s="24" t="inlineStr">
        <is>
          <t>Otro uso (texto)</t>
        </is>
      </c>
      <c r="AT3" s="25" t="inlineStr">
        <is>
          <t>D_IA (profundidad)</t>
        </is>
      </c>
      <c r="AU3" s="25" t="inlineStr">
        <is>
          <t>A_IA (amplitud)</t>
        </is>
      </c>
      <c r="AV3" s="24" t="inlineStr">
        <is>
          <t>T: herramienta</t>
        </is>
      </c>
      <c r="AW3" s="24" t="inlineStr">
        <is>
          <t>V: versión</t>
        </is>
      </c>
      <c r="AX3" s="24" t="inlineStr">
        <is>
          <t>P: propósito</t>
        </is>
      </c>
      <c r="AY3" s="24" t="inlineStr">
        <is>
          <t>E: extensión</t>
        </is>
      </c>
      <c r="AZ3" s="24" t="inlineStr">
        <is>
          <t>S: supervisión</t>
        </is>
      </c>
      <c r="BA3" s="24" t="inlineStr">
        <is>
          <t>Responsabilidad</t>
        </is>
      </c>
      <c r="BB3" s="24" t="inlineStr">
        <is>
          <t>Prompts disponibles</t>
        </is>
      </c>
      <c r="BC3" s="25" t="inlineStr">
        <is>
          <t>Q_IA</t>
        </is>
      </c>
      <c r="BD3" s="24" t="inlineStr">
        <is>
          <t>Subárea</t>
        </is>
      </c>
      <c r="BE3" s="24" t="inlineStr">
        <is>
          <t>Nivel educativo</t>
        </is>
      </c>
      <c r="BF3" s="24" t="inlineStr">
        <is>
          <t>Enfoque de datos</t>
        </is>
      </c>
      <c r="BG3" s="24" t="inlineStr">
        <is>
          <t>Duda de codificación</t>
        </is>
      </c>
      <c r="BH3" s="24" t="inlineStr">
        <is>
          <t>Observación</t>
        </is>
      </c>
      <c r="BI3" s="26" t="inlineStr">
        <is>
          <t>Revisión automática</t>
        </is>
      </c>
    </row>
    <row r="4" ht="42" customHeight="1">
      <c r="A4" s="27" t="n">
        <v>1</v>
      </c>
      <c r="B4" s="27" t="inlineStr">
        <is>
          <t>10.3389/feduc.2026.1892834</t>
        </is>
      </c>
      <c r="C4" s="28" t="inlineStr">
        <is>
          <t>From arrival to integration: ecological approach for learning Latvian in schools of Latvia</t>
        </is>
      </c>
      <c r="D4" s="27" t="inlineStr">
        <is>
          <t>WOS:001851973600001</t>
        </is>
      </c>
      <c r="E4" s="27" t="inlineStr">
        <is>
          <t>FRONTIERS IN EDUCATION</t>
        </is>
      </c>
      <c r="F4" s="29" t="n"/>
      <c r="G4" s="29" t="n"/>
      <c r="H4" s="29" t="n"/>
      <c r="I4" s="27" t="inlineStr">
        <is>
          <t>MSC</t>
        </is>
      </c>
      <c r="J4" s="29" t="n"/>
      <c r="K4" s="29" t="n"/>
      <c r="L4" s="29" t="n"/>
      <c r="M4" s="29" t="n"/>
      <c r="N4" s="30" t="n"/>
      <c r="O4" s="29" t="n"/>
      <c r="P4" s="29" t="n"/>
      <c r="Q4" s="31">
        <f>IF(N4="","",LEN(TRIM(N4))-LEN(SUBSTITUTE(TRIM(N4)," ",""))+1)</f>
        <v/>
      </c>
      <c r="R4" s="29" t="n"/>
      <c r="S4" s="29" t="n"/>
      <c r="T4" s="29" t="n"/>
      <c r="U4" s="29" t="n"/>
      <c r="V4" s="29" t="n"/>
      <c r="W4" s="29" t="n"/>
      <c r="X4" s="29" t="n"/>
      <c r="Y4" s="29" t="n"/>
      <c r="Z4" s="29" t="n"/>
      <c r="AA4" s="29" t="n"/>
      <c r="AB4" s="29" t="n"/>
      <c r="AC4" s="29" t="n"/>
      <c r="AD4" s="29" t="n"/>
      <c r="AE4" s="29" t="n"/>
      <c r="AF4" s="29" t="n"/>
      <c r="AG4" s="29" t="n"/>
      <c r="AH4" s="29" t="n"/>
      <c r="AI4" s="29" t="n"/>
      <c r="AJ4" s="29" t="n"/>
      <c r="AK4" s="29" t="n"/>
      <c r="AL4" s="29" t="n"/>
      <c r="AM4" s="29" t="n"/>
      <c r="AN4" s="29" t="n"/>
      <c r="AO4" s="29" t="n"/>
      <c r="AP4" s="29" t="n"/>
      <c r="AQ4" s="29" t="n"/>
      <c r="AR4" s="29" t="n"/>
      <c r="AS4" s="30" t="n"/>
      <c r="AT4" s="31">
        <f>IF(L4="","",IF(L4=0,0,IF(L4=1,IF(OR(AJ4=1,AN4=1),5,IF(OR(AL4=1,AO4=1),4,IF(OR(AK4=1,AM4=1,AP4=1),3,IF(OR(AF4=1,AG4=1,AH4=1,AI4=1),2,IF(OR(AC4=1,AD4=1,AE4=1),1,IF(AQ4=1,9,"")))))),"")))</f>
        <v/>
      </c>
      <c r="AU4" s="31">
        <f>IF(L4="","",IF(L4=1,SUM(AC4:AP4),IF(L4=0,0,"")))</f>
        <v/>
      </c>
      <c r="AV4" s="29" t="n"/>
      <c r="AW4" s="29" t="n"/>
      <c r="AX4" s="29" t="n"/>
      <c r="AY4" s="29" t="n"/>
      <c r="AZ4" s="29" t="n"/>
      <c r="BA4" s="29" t="n"/>
      <c r="BB4" s="29" t="n"/>
      <c r="BC4" s="31">
        <f>IF(L4=1,SUM(AV4:AZ4),"")</f>
        <v/>
      </c>
      <c r="BD4" s="29" t="n"/>
      <c r="BE4" s="29" t="n"/>
      <c r="BF4" s="29" t="n"/>
      <c r="BG4" s="30" t="n"/>
      <c r="BH4" s="30" t="n"/>
      <c r="BI4" s="32">
        <f>TRIM(IF(AND(L4=1,M4=1),"D01 y D02 en 1; ","")&amp;IF(AND(L4=0,T4&lt;&gt;"",T4&lt;&gt;"NA"),"D01=0 con E02; ","")&amp;IF(AND(L4=0,COUNTIF(AC4:AR4,1)&gt;0),"D01=0 con F en 1; ","")&amp;IF(AND(L4=1,N4=""),"D01=1 sin D03; ","")&amp;IF(AND(AV4=1,OR(T4="",T4="NA")),"H01=1 sin E02; ","")&amp;IF(AND(AW4&lt;&gt;"",Y4&lt;&gt;"",AW4&lt;&gt;Y4),"H02 distinto de E07; ",""))</f>
        <v/>
      </c>
    </row>
    <row r="5" ht="42" customHeight="1">
      <c r="A5" s="27" t="n">
        <v>2</v>
      </c>
      <c r="B5" s="27" t="inlineStr">
        <is>
          <t>10.3389/feduc.2026.1831504</t>
        </is>
      </c>
      <c r="C5" s="28" t="inlineStr">
        <is>
          <t>Affective engagement across metaphor-related discourse moves in statistics education</t>
        </is>
      </c>
      <c r="D5" s="27" t="inlineStr">
        <is>
          <t>WOS:001862961900001</t>
        </is>
      </c>
      <c r="E5" s="27" t="inlineStr">
        <is>
          <t>FRONTIERS IN EDUCATION</t>
        </is>
      </c>
      <c r="F5" s="29" t="n"/>
      <c r="G5" s="29" t="n"/>
      <c r="H5" s="29" t="n"/>
      <c r="I5" s="27" t="inlineStr">
        <is>
          <t>MSC</t>
        </is>
      </c>
      <c r="J5" s="29" t="n"/>
      <c r="K5" s="29" t="n"/>
      <c r="L5" s="29" t="n"/>
      <c r="M5" s="29" t="n"/>
      <c r="N5" s="30" t="n"/>
      <c r="O5" s="29" t="n"/>
      <c r="P5" s="29" t="n"/>
      <c r="Q5" s="31">
        <f>IF(N5="","",LEN(TRIM(N5))-LEN(SUBSTITUTE(TRIM(N5)," ",""))+1)</f>
        <v/>
      </c>
      <c r="R5" s="29" t="n"/>
      <c r="S5" s="29" t="n"/>
      <c r="T5" s="29" t="n"/>
      <c r="U5" s="29" t="n"/>
      <c r="V5" s="29" t="n"/>
      <c r="W5" s="29" t="n"/>
      <c r="X5" s="29" t="n"/>
      <c r="Y5" s="29" t="n"/>
      <c r="Z5" s="29" t="n"/>
      <c r="AA5" s="29" t="n"/>
      <c r="AB5" s="29" t="n"/>
      <c r="AC5" s="29" t="n"/>
      <c r="AD5" s="29" t="n"/>
      <c r="AE5" s="29" t="n"/>
      <c r="AF5" s="29" t="n"/>
      <c r="AG5" s="29" t="n"/>
      <c r="AH5" s="29" t="n"/>
      <c r="AI5" s="29" t="n"/>
      <c r="AJ5" s="29" t="n"/>
      <c r="AK5" s="29" t="n"/>
      <c r="AL5" s="29" t="n"/>
      <c r="AM5" s="29" t="n"/>
      <c r="AN5" s="29" t="n"/>
      <c r="AO5" s="29" t="n"/>
      <c r="AP5" s="29" t="n"/>
      <c r="AQ5" s="29" t="n"/>
      <c r="AR5" s="29" t="n"/>
      <c r="AS5" s="30" t="n"/>
      <c r="AT5" s="31">
        <f>IF(L5="","",IF(L5=0,0,IF(L5=1,IF(OR(AJ5=1,AN5=1),5,IF(OR(AL5=1,AO5=1),4,IF(OR(AK5=1,AM5=1,AP5=1),3,IF(OR(AF5=1,AG5=1,AH5=1,AI5=1),2,IF(OR(AC5=1,AD5=1,AE5=1),1,IF(AQ5=1,9,"")))))),"")))</f>
        <v/>
      </c>
      <c r="AU5" s="31">
        <f>IF(L5="","",IF(L5=1,SUM(AC5:AP5),IF(L5=0,0,"")))</f>
        <v/>
      </c>
      <c r="AV5" s="29" t="n"/>
      <c r="AW5" s="29" t="n"/>
      <c r="AX5" s="29" t="n"/>
      <c r="AY5" s="29" t="n"/>
      <c r="AZ5" s="29" t="n"/>
      <c r="BA5" s="29" t="n"/>
      <c r="BB5" s="29" t="n"/>
      <c r="BC5" s="31">
        <f>IF(L5=1,SUM(AV5:AZ5),"")</f>
        <v/>
      </c>
      <c r="BD5" s="29" t="n"/>
      <c r="BE5" s="29" t="n"/>
      <c r="BF5" s="29" t="n"/>
      <c r="BG5" s="30" t="n"/>
      <c r="BH5" s="30" t="n"/>
      <c r="BI5" s="32">
        <f>TRIM(IF(AND(L5=1,M5=1),"D01 y D02 en 1; ","")&amp;IF(AND(L5=0,T5&lt;&gt;"",T5&lt;&gt;"NA"),"D01=0 con E02; ","")&amp;IF(AND(L5=0,COUNTIF(AC5:AR5,1)&gt;0),"D01=0 con F en 1; ","")&amp;IF(AND(L5=1,N5=""),"D01=1 sin D03; ","")&amp;IF(AND(AV5=1,OR(T5="",T5="NA")),"H01=1 sin E02; ","")&amp;IF(AND(AW5&lt;&gt;"",Y5&lt;&gt;"",AW5&lt;&gt;Y5),"H02 distinto de E07; ",""))</f>
        <v/>
      </c>
    </row>
    <row r="6" ht="42" customHeight="1">
      <c r="A6" s="27" t="n">
        <v>3</v>
      </c>
      <c r="B6" s="27" t="inlineStr">
        <is>
          <t>10.3389/feduc.2025.1681017</t>
        </is>
      </c>
      <c r="C6" s="28" t="inlineStr">
        <is>
          <t>From school to university: staff perspectives on supporting student inclusion and wellbeing</t>
        </is>
      </c>
      <c r="D6" s="27" t="inlineStr">
        <is>
          <t>WOS:001596521300001</t>
        </is>
      </c>
      <c r="E6" s="27" t="inlineStr">
        <is>
          <t>FRONTIERS IN EDUCATION</t>
        </is>
      </c>
      <c r="F6" s="29" t="n"/>
      <c r="G6" s="29" t="n"/>
      <c r="H6" s="29" t="n"/>
      <c r="I6" s="27" t="inlineStr">
        <is>
          <t>MSC</t>
        </is>
      </c>
      <c r="J6" s="29" t="n"/>
      <c r="K6" s="29" t="n"/>
      <c r="L6" s="29" t="n"/>
      <c r="M6" s="29" t="n"/>
      <c r="N6" s="30" t="n"/>
      <c r="O6" s="29" t="n"/>
      <c r="P6" s="29" t="n"/>
      <c r="Q6" s="31">
        <f>IF(N6="","",LEN(TRIM(N6))-LEN(SUBSTITUTE(TRIM(N6)," ",""))+1)</f>
        <v/>
      </c>
      <c r="R6" s="29" t="n"/>
      <c r="S6" s="29" t="n"/>
      <c r="T6" s="29" t="n"/>
      <c r="U6" s="29" t="n"/>
      <c r="V6" s="29" t="n"/>
      <c r="W6" s="29" t="n"/>
      <c r="X6" s="29" t="n"/>
      <c r="Y6" s="29" t="n"/>
      <c r="Z6" s="29" t="n"/>
      <c r="AA6" s="29" t="n"/>
      <c r="AB6" s="29" t="n"/>
      <c r="AC6" s="29" t="n"/>
      <c r="AD6" s="29" t="n"/>
      <c r="AE6" s="29" t="n"/>
      <c r="AF6" s="29" t="n"/>
      <c r="AG6" s="29" t="n"/>
      <c r="AH6" s="29" t="n"/>
      <c r="AI6" s="29" t="n"/>
      <c r="AJ6" s="29" t="n"/>
      <c r="AK6" s="29" t="n"/>
      <c r="AL6" s="29" t="n"/>
      <c r="AM6" s="29" t="n"/>
      <c r="AN6" s="29" t="n"/>
      <c r="AO6" s="29" t="n"/>
      <c r="AP6" s="29" t="n"/>
      <c r="AQ6" s="29" t="n"/>
      <c r="AR6" s="29" t="n"/>
      <c r="AS6" s="30" t="n"/>
      <c r="AT6" s="31">
        <f>IF(L6="","",IF(L6=0,0,IF(L6=1,IF(OR(AJ6=1,AN6=1),5,IF(OR(AL6=1,AO6=1),4,IF(OR(AK6=1,AM6=1,AP6=1),3,IF(OR(AF6=1,AG6=1,AH6=1,AI6=1),2,IF(OR(AC6=1,AD6=1,AE6=1),1,IF(AQ6=1,9,"")))))),"")))</f>
        <v/>
      </c>
      <c r="AU6" s="31">
        <f>IF(L6="","",IF(L6=1,SUM(AC6:AP6),IF(L6=0,0,"")))</f>
        <v/>
      </c>
      <c r="AV6" s="29" t="n"/>
      <c r="AW6" s="29" t="n"/>
      <c r="AX6" s="29" t="n"/>
      <c r="AY6" s="29" t="n"/>
      <c r="AZ6" s="29" t="n"/>
      <c r="BA6" s="29" t="n"/>
      <c r="BB6" s="29" t="n"/>
      <c r="BC6" s="31">
        <f>IF(L6=1,SUM(AV6:AZ6),"")</f>
        <v/>
      </c>
      <c r="BD6" s="29" t="n"/>
      <c r="BE6" s="29" t="n"/>
      <c r="BF6" s="29" t="n"/>
      <c r="BG6" s="30" t="n"/>
      <c r="BH6" s="30" t="n"/>
      <c r="BI6" s="32">
        <f>TRIM(IF(AND(L6=1,M6=1),"D01 y D02 en 1; ","")&amp;IF(AND(L6=0,T6&lt;&gt;"",T6&lt;&gt;"NA"),"D01=0 con E02; ","")&amp;IF(AND(L6=0,COUNTIF(AC6:AR6,1)&gt;0),"D01=0 con F en 1; ","")&amp;IF(AND(L6=1,N6=""),"D01=1 sin D03; ","")&amp;IF(AND(AV6=1,OR(T6="",T6="NA")),"H01=1 sin E02; ","")&amp;IF(AND(AW6&lt;&gt;"",Y6&lt;&gt;"",AW6&lt;&gt;Y6),"H02 distinto de E07; ",""))</f>
        <v/>
      </c>
    </row>
    <row r="7" ht="42" customHeight="1">
      <c r="A7" s="27" t="n">
        <v>4</v>
      </c>
      <c r="B7" s="27" t="inlineStr">
        <is>
          <t>10.3389/feduc.2025.1680396</t>
        </is>
      </c>
      <c r="C7" s="28" t="inlineStr">
        <is>
          <t>A didactic intervention to strengthen critical thinking in the interpretation of visualized data</t>
        </is>
      </c>
      <c r="D7" s="27" t="inlineStr">
        <is>
          <t>WOS:001610110300001</t>
        </is>
      </c>
      <c r="E7" s="27" t="inlineStr">
        <is>
          <t>FRONTIERS IN EDUCATION</t>
        </is>
      </c>
      <c r="F7" s="29" t="n"/>
      <c r="G7" s="29" t="n"/>
      <c r="H7" s="29" t="n"/>
      <c r="I7" s="27" t="inlineStr">
        <is>
          <t>MSC</t>
        </is>
      </c>
      <c r="J7" s="29" t="n"/>
      <c r="K7" s="29" t="n"/>
      <c r="L7" s="29" t="n"/>
      <c r="M7" s="29" t="n"/>
      <c r="N7" s="30" t="n"/>
      <c r="O7" s="29" t="n"/>
      <c r="P7" s="29" t="n"/>
      <c r="Q7" s="31">
        <f>IF(N7="","",LEN(TRIM(N7))-LEN(SUBSTITUTE(TRIM(N7)," ",""))+1)</f>
        <v/>
      </c>
      <c r="R7" s="29" t="n"/>
      <c r="S7" s="29" t="n"/>
      <c r="T7" s="29" t="n"/>
      <c r="U7" s="29" t="n"/>
      <c r="V7" s="29" t="n"/>
      <c r="W7" s="29" t="n"/>
      <c r="X7" s="29" t="n"/>
      <c r="Y7" s="29" t="n"/>
      <c r="Z7" s="29" t="n"/>
      <c r="AA7" s="29" t="n"/>
      <c r="AB7" s="29" t="n"/>
      <c r="AC7" s="29" t="n"/>
      <c r="AD7" s="29" t="n"/>
      <c r="AE7" s="29" t="n"/>
      <c r="AF7" s="29" t="n"/>
      <c r="AG7" s="29" t="n"/>
      <c r="AH7" s="29" t="n"/>
      <c r="AI7" s="29" t="n"/>
      <c r="AJ7" s="29" t="n"/>
      <c r="AK7" s="29" t="n"/>
      <c r="AL7" s="29" t="n"/>
      <c r="AM7" s="29" t="n"/>
      <c r="AN7" s="29" t="n"/>
      <c r="AO7" s="29" t="n"/>
      <c r="AP7" s="29" t="n"/>
      <c r="AQ7" s="29" t="n"/>
      <c r="AR7" s="29" t="n"/>
      <c r="AS7" s="30" t="n"/>
      <c r="AT7" s="31">
        <f>IF(L7="","",IF(L7=0,0,IF(L7=1,IF(OR(AJ7=1,AN7=1),5,IF(OR(AL7=1,AO7=1),4,IF(OR(AK7=1,AM7=1,AP7=1),3,IF(OR(AF7=1,AG7=1,AH7=1,AI7=1),2,IF(OR(AC7=1,AD7=1,AE7=1),1,IF(AQ7=1,9,"")))))),"")))</f>
        <v/>
      </c>
      <c r="AU7" s="31">
        <f>IF(L7="","",IF(L7=1,SUM(AC7:AP7),IF(L7=0,0,"")))</f>
        <v/>
      </c>
      <c r="AV7" s="29" t="n"/>
      <c r="AW7" s="29" t="n"/>
      <c r="AX7" s="29" t="n"/>
      <c r="AY7" s="29" t="n"/>
      <c r="AZ7" s="29" t="n"/>
      <c r="BA7" s="29" t="n"/>
      <c r="BB7" s="29" t="n"/>
      <c r="BC7" s="31">
        <f>IF(L7=1,SUM(AV7:AZ7),"")</f>
        <v/>
      </c>
      <c r="BD7" s="29" t="n"/>
      <c r="BE7" s="29" t="n"/>
      <c r="BF7" s="29" t="n"/>
      <c r="BG7" s="30" t="n"/>
      <c r="BH7" s="30" t="n"/>
      <c r="BI7" s="32">
        <f>TRIM(IF(AND(L7=1,M7=1),"D01 y D02 en 1; ","")&amp;IF(AND(L7=0,T7&lt;&gt;"",T7&lt;&gt;"NA"),"D01=0 con E02; ","")&amp;IF(AND(L7=0,COUNTIF(AC7:AR7,1)&gt;0),"D01=0 con F en 1; ","")&amp;IF(AND(L7=1,N7=""),"D01=1 sin D03; ","")&amp;IF(AND(AV7=1,OR(T7="",T7="NA")),"H01=1 sin E02; ","")&amp;IF(AND(AW7&lt;&gt;"",Y7&lt;&gt;"",AW7&lt;&gt;Y7),"H02 distinto de E07; ",""))</f>
        <v/>
      </c>
    </row>
    <row r="8" ht="42" customHeight="1">
      <c r="A8" s="27" t="n">
        <v>5</v>
      </c>
      <c r="B8" s="27" t="inlineStr">
        <is>
          <t>10.5209/rced.96906</t>
        </is>
      </c>
      <c r="C8" s="28" t="inlineStr">
        <is>
          <t>Empowerment profiles in students with intellectual disabilities of the Todos Somos Campus University program</t>
        </is>
      </c>
      <c r="D8" s="27" t="inlineStr">
        <is>
          <t>WOS:001589228100009</t>
        </is>
      </c>
      <c r="E8" s="27" t="inlineStr">
        <is>
          <t>REVISTA COMPLUTENSE DE EDUCACION</t>
        </is>
      </c>
      <c r="F8" s="29" t="n"/>
      <c r="G8" s="29" t="n"/>
      <c r="H8" s="29" t="n"/>
      <c r="I8" s="27" t="inlineStr">
        <is>
          <t>MSC</t>
        </is>
      </c>
      <c r="J8" s="29" t="n"/>
      <c r="K8" s="29" t="n"/>
      <c r="L8" s="29" t="n"/>
      <c r="M8" s="29" t="n"/>
      <c r="N8" s="30" t="n"/>
      <c r="O8" s="29" t="n"/>
      <c r="P8" s="29" t="n"/>
      <c r="Q8" s="31">
        <f>IF(N8="","",LEN(TRIM(N8))-LEN(SUBSTITUTE(TRIM(N8)," ",""))+1)</f>
        <v/>
      </c>
      <c r="R8" s="29" t="n"/>
      <c r="S8" s="29" t="n"/>
      <c r="T8" s="29" t="n"/>
      <c r="U8" s="29" t="n"/>
      <c r="V8" s="29" t="n"/>
      <c r="W8" s="29" t="n"/>
      <c r="X8" s="29" t="n"/>
      <c r="Y8" s="29" t="n"/>
      <c r="Z8" s="29" t="n"/>
      <c r="AA8" s="29" t="n"/>
      <c r="AB8" s="29" t="n"/>
      <c r="AC8" s="29" t="n"/>
      <c r="AD8" s="29" t="n"/>
      <c r="AE8" s="29" t="n"/>
      <c r="AF8" s="29" t="n"/>
      <c r="AG8" s="29" t="n"/>
      <c r="AH8" s="29" t="n"/>
      <c r="AI8" s="29" t="n"/>
      <c r="AJ8" s="29" t="n"/>
      <c r="AK8" s="29" t="n"/>
      <c r="AL8" s="29" t="n"/>
      <c r="AM8" s="29" t="n"/>
      <c r="AN8" s="29" t="n"/>
      <c r="AO8" s="29" t="n"/>
      <c r="AP8" s="29" t="n"/>
      <c r="AQ8" s="29" t="n"/>
      <c r="AR8" s="29" t="n"/>
      <c r="AS8" s="30" t="n"/>
      <c r="AT8" s="31">
        <f>IF(L8="","",IF(L8=0,0,IF(L8=1,IF(OR(AJ8=1,AN8=1),5,IF(OR(AL8=1,AO8=1),4,IF(OR(AK8=1,AM8=1,AP8=1),3,IF(OR(AF8=1,AG8=1,AH8=1,AI8=1),2,IF(OR(AC8=1,AD8=1,AE8=1),1,IF(AQ8=1,9,"")))))),"")))</f>
        <v/>
      </c>
      <c r="AU8" s="31">
        <f>IF(L8="","",IF(L8=1,SUM(AC8:AP8),IF(L8=0,0,"")))</f>
        <v/>
      </c>
      <c r="AV8" s="29" t="n"/>
      <c r="AW8" s="29" t="n"/>
      <c r="AX8" s="29" t="n"/>
      <c r="AY8" s="29" t="n"/>
      <c r="AZ8" s="29" t="n"/>
      <c r="BA8" s="29" t="n"/>
      <c r="BB8" s="29" t="n"/>
      <c r="BC8" s="31">
        <f>IF(L8=1,SUM(AV8:AZ8),"")</f>
        <v/>
      </c>
      <c r="BD8" s="29" t="n"/>
      <c r="BE8" s="29" t="n"/>
      <c r="BF8" s="29" t="n"/>
      <c r="BG8" s="30" t="n"/>
      <c r="BH8" s="30" t="n"/>
      <c r="BI8" s="32">
        <f>TRIM(IF(AND(L8=1,M8=1),"D01 y D02 en 1; ","")&amp;IF(AND(L8=0,T8&lt;&gt;"",T8&lt;&gt;"NA"),"D01=0 con E02; ","")&amp;IF(AND(L8=0,COUNTIF(AC8:AR8,1)&gt;0),"D01=0 con F en 1; ","")&amp;IF(AND(L8=1,N8=""),"D01=1 sin D03; ","")&amp;IF(AND(AV8=1,OR(T8="",T8="NA")),"H01=1 sin E02; ","")&amp;IF(AND(AW8&lt;&gt;"",Y8&lt;&gt;"",AW8&lt;&gt;Y8),"H02 distinto de E07; ",""))</f>
        <v/>
      </c>
    </row>
    <row r="9" ht="42" customHeight="1">
      <c r="A9" s="27" t="n">
        <v>6</v>
      </c>
      <c r="B9" s="27" t="inlineStr">
        <is>
          <t>10.3389/feduc.2026.1837153</t>
        </is>
      </c>
      <c r="C9" s="28" t="inlineStr">
        <is>
          <t>Operationalizing Education for Sustainable Development in higher education language learning: a case study of a Chinese German-as-a-Foreign-Language textbook</t>
        </is>
      </c>
      <c r="D9" s="27" t="inlineStr">
        <is>
          <t>WOS:001819663400001</t>
        </is>
      </c>
      <c r="E9" s="27" t="inlineStr">
        <is>
          <t>FRONTIERS IN EDUCATION</t>
        </is>
      </c>
      <c r="F9" s="29" t="n"/>
      <c r="G9" s="29" t="n"/>
      <c r="H9" s="29" t="n"/>
      <c r="I9" s="27" t="inlineStr">
        <is>
          <t>MSC</t>
        </is>
      </c>
      <c r="J9" s="29" t="n"/>
      <c r="K9" s="29" t="n"/>
      <c r="L9" s="29" t="n"/>
      <c r="M9" s="29" t="n"/>
      <c r="N9" s="30" t="n"/>
      <c r="O9" s="29" t="n"/>
      <c r="P9" s="29" t="n"/>
      <c r="Q9" s="31">
        <f>IF(N9="","",LEN(TRIM(N9))-LEN(SUBSTITUTE(TRIM(N9)," ",""))+1)</f>
        <v/>
      </c>
      <c r="R9" s="29" t="n"/>
      <c r="S9" s="29" t="n"/>
      <c r="T9" s="29" t="n"/>
      <c r="U9" s="29" t="n"/>
      <c r="V9" s="29" t="n"/>
      <c r="W9" s="29" t="n"/>
      <c r="X9" s="29" t="n"/>
      <c r="Y9" s="29" t="n"/>
      <c r="Z9" s="29" t="n"/>
      <c r="AA9" s="29" t="n"/>
      <c r="AB9" s="29" t="n"/>
      <c r="AC9" s="29" t="n"/>
      <c r="AD9" s="29" t="n"/>
      <c r="AE9" s="29" t="n"/>
      <c r="AF9" s="29" t="n"/>
      <c r="AG9" s="29" t="n"/>
      <c r="AH9" s="29" t="n"/>
      <c r="AI9" s="29" t="n"/>
      <c r="AJ9" s="29" t="n"/>
      <c r="AK9" s="29" t="n"/>
      <c r="AL9" s="29" t="n"/>
      <c r="AM9" s="29" t="n"/>
      <c r="AN9" s="29" t="n"/>
      <c r="AO9" s="29" t="n"/>
      <c r="AP9" s="29" t="n"/>
      <c r="AQ9" s="29" t="n"/>
      <c r="AR9" s="29" t="n"/>
      <c r="AS9" s="30" t="n"/>
      <c r="AT9" s="31">
        <f>IF(L9="","",IF(L9=0,0,IF(L9=1,IF(OR(AJ9=1,AN9=1),5,IF(OR(AL9=1,AO9=1),4,IF(OR(AK9=1,AM9=1,AP9=1),3,IF(OR(AF9=1,AG9=1,AH9=1,AI9=1),2,IF(OR(AC9=1,AD9=1,AE9=1),1,IF(AQ9=1,9,"")))))),"")))</f>
        <v/>
      </c>
      <c r="AU9" s="31">
        <f>IF(L9="","",IF(L9=1,SUM(AC9:AP9),IF(L9=0,0,"")))</f>
        <v/>
      </c>
      <c r="AV9" s="29" t="n"/>
      <c r="AW9" s="29" t="n"/>
      <c r="AX9" s="29" t="n"/>
      <c r="AY9" s="29" t="n"/>
      <c r="AZ9" s="29" t="n"/>
      <c r="BA9" s="29" t="n"/>
      <c r="BB9" s="29" t="n"/>
      <c r="BC9" s="31">
        <f>IF(L9=1,SUM(AV9:AZ9),"")</f>
        <v/>
      </c>
      <c r="BD9" s="29" t="n"/>
      <c r="BE9" s="29" t="n"/>
      <c r="BF9" s="29" t="n"/>
      <c r="BG9" s="30" t="n"/>
      <c r="BH9" s="30" t="n"/>
      <c r="BI9" s="32">
        <f>TRIM(IF(AND(L9=1,M9=1),"D01 y D02 en 1; ","")&amp;IF(AND(L9=0,T9&lt;&gt;"",T9&lt;&gt;"NA"),"D01=0 con E02; ","")&amp;IF(AND(L9=0,COUNTIF(AC9:AR9,1)&gt;0),"D01=0 con F en 1; ","")&amp;IF(AND(L9=1,N9=""),"D01=1 sin D03; ","")&amp;IF(AND(AV9=1,OR(T9="",T9="NA")),"H01=1 sin E02; ","")&amp;IF(AND(AW9&lt;&gt;"",Y9&lt;&gt;"",AW9&lt;&gt;Y9),"H02 distinto de E07; ",""))</f>
        <v/>
      </c>
    </row>
    <row r="10" ht="42" customHeight="1">
      <c r="A10" s="27" t="n">
        <v>7</v>
      </c>
      <c r="B10" s="27" t="inlineStr">
        <is>
          <t>10.1007/s10639-024-13003-4</t>
        </is>
      </c>
      <c r="C10" s="28" t="inlineStr">
        <is>
          <t>Efficient topic identification for urgent MOOC Forum posts using BERTopic and traditional topic modeling techniques</t>
        </is>
      </c>
      <c r="D10" s="27" t="inlineStr">
        <is>
          <t>WOS:001314860800001</t>
        </is>
      </c>
      <c r="E10" s="27" t="inlineStr">
        <is>
          <t>EDUCATION AND INFORMATION TECHNOLOGIES</t>
        </is>
      </c>
      <c r="F10" s="29" t="n"/>
      <c r="G10" s="29" t="n"/>
      <c r="H10" s="29" t="n"/>
      <c r="I10" s="27" t="inlineStr">
        <is>
          <t>MSC</t>
        </is>
      </c>
      <c r="J10" s="29" t="n"/>
      <c r="K10" s="29" t="n"/>
      <c r="L10" s="29" t="n"/>
      <c r="M10" s="29" t="n"/>
      <c r="N10" s="30" t="n"/>
      <c r="O10" s="29" t="n"/>
      <c r="P10" s="29" t="n"/>
      <c r="Q10" s="31">
        <f>IF(N10="","",LEN(TRIM(N10))-LEN(SUBSTITUTE(TRIM(N10)," ",""))+1)</f>
        <v/>
      </c>
      <c r="R10" s="29" t="n"/>
      <c r="S10" s="29" t="n"/>
      <c r="T10" s="29" t="n"/>
      <c r="U10" s="29" t="n"/>
      <c r="V10" s="29" t="n"/>
      <c r="W10" s="29" t="n"/>
      <c r="X10" s="29" t="n"/>
      <c r="Y10" s="29" t="n"/>
      <c r="Z10" s="29" t="n"/>
      <c r="AA10" s="29" t="n"/>
      <c r="AB10" s="29" t="n"/>
      <c r="AC10" s="29" t="n"/>
      <c r="AD10" s="29" t="n"/>
      <c r="AE10" s="29" t="n"/>
      <c r="AF10" s="29" t="n"/>
      <c r="AG10" s="29" t="n"/>
      <c r="AH10" s="29" t="n"/>
      <c r="AI10" s="29" t="n"/>
      <c r="AJ10" s="29" t="n"/>
      <c r="AK10" s="29" t="n"/>
      <c r="AL10" s="29" t="n"/>
      <c r="AM10" s="29" t="n"/>
      <c r="AN10" s="29" t="n"/>
      <c r="AO10" s="29" t="n"/>
      <c r="AP10" s="29" t="n"/>
      <c r="AQ10" s="29" t="n"/>
      <c r="AR10" s="29" t="n"/>
      <c r="AS10" s="30" t="n"/>
      <c r="AT10" s="31">
        <f>IF(L10="","",IF(L10=0,0,IF(L10=1,IF(OR(AJ10=1,AN10=1),5,IF(OR(AL10=1,AO10=1),4,IF(OR(AK10=1,AM10=1,AP10=1),3,IF(OR(AF10=1,AG10=1,AH10=1,AI10=1),2,IF(OR(AC10=1,AD10=1,AE10=1),1,IF(AQ10=1,9,"")))))),"")))</f>
        <v/>
      </c>
      <c r="AU10" s="31">
        <f>IF(L10="","",IF(L10=1,SUM(AC10:AP10),IF(L10=0,0,"")))</f>
        <v/>
      </c>
      <c r="AV10" s="29" t="n"/>
      <c r="AW10" s="29" t="n"/>
      <c r="AX10" s="29" t="n"/>
      <c r="AY10" s="29" t="n"/>
      <c r="AZ10" s="29" t="n"/>
      <c r="BA10" s="29" t="n"/>
      <c r="BB10" s="29" t="n"/>
      <c r="BC10" s="31">
        <f>IF(L10=1,SUM(AV10:AZ10),"")</f>
        <v/>
      </c>
      <c r="BD10" s="29" t="n"/>
      <c r="BE10" s="29" t="n"/>
      <c r="BF10" s="29" t="n"/>
      <c r="BG10" s="30" t="n"/>
      <c r="BH10" s="30" t="n"/>
      <c r="BI10" s="32">
        <f>TRIM(IF(AND(L10=1,M10=1),"D01 y D02 en 1; ","")&amp;IF(AND(L10=0,T10&lt;&gt;"",T10&lt;&gt;"NA"),"D01=0 con E02; ","")&amp;IF(AND(L10=0,COUNTIF(AC10:AR10,1)&gt;0),"D01=0 con F en 1; ","")&amp;IF(AND(L10=1,N10=""),"D01=1 sin D03; ","")&amp;IF(AND(AV10=1,OR(T10="",T10="NA")),"H01=1 sin E02; ","")&amp;IF(AND(AW10&lt;&gt;"",Y10&lt;&gt;"",AW10&lt;&gt;Y10),"H02 distinto de E07; ",""))</f>
        <v/>
      </c>
    </row>
    <row r="11" ht="42" customHeight="1">
      <c r="A11" s="27" t="n">
        <v>8</v>
      </c>
      <c r="B11" s="27" t="inlineStr">
        <is>
          <t>10.3390/educsci16060898</t>
        </is>
      </c>
      <c r="C11" s="28" t="inlineStr">
        <is>
          <t>A Teaching-Learning Sequence on Introducing Aspects of the Control of Variables Strategy: Its Refinement Process</t>
        </is>
      </c>
      <c r="D11" s="27" t="inlineStr">
        <is>
          <t>WOS:001802150300001</t>
        </is>
      </c>
      <c r="E11" s="27" t="inlineStr">
        <is>
          <t>EDUCATION SCIENCES</t>
        </is>
      </c>
      <c r="F11" s="29" t="n"/>
      <c r="G11" s="29" t="n"/>
      <c r="H11" s="29" t="n"/>
      <c r="I11" s="27" t="inlineStr">
        <is>
          <t>MSC</t>
        </is>
      </c>
      <c r="J11" s="29" t="n"/>
      <c r="K11" s="29" t="n"/>
      <c r="L11" s="29" t="n"/>
      <c r="M11" s="29" t="n"/>
      <c r="N11" s="30" t="n"/>
      <c r="O11" s="29" t="n"/>
      <c r="P11" s="29" t="n"/>
      <c r="Q11" s="31">
        <f>IF(N11="","",LEN(TRIM(N11))-LEN(SUBSTITUTE(TRIM(N11)," ",""))+1)</f>
        <v/>
      </c>
      <c r="R11" s="29" t="n"/>
      <c r="S11" s="29" t="n"/>
      <c r="T11" s="29" t="n"/>
      <c r="U11" s="29" t="n"/>
      <c r="V11" s="29" t="n"/>
      <c r="W11" s="29" t="n"/>
      <c r="X11" s="29" t="n"/>
      <c r="Y11" s="29" t="n"/>
      <c r="Z11" s="29" t="n"/>
      <c r="AA11" s="29" t="n"/>
      <c r="AB11" s="29" t="n"/>
      <c r="AC11" s="29" t="n"/>
      <c r="AD11" s="29" t="n"/>
      <c r="AE11" s="29" t="n"/>
      <c r="AF11" s="29" t="n"/>
      <c r="AG11" s="29" t="n"/>
      <c r="AH11" s="29" t="n"/>
      <c r="AI11" s="29" t="n"/>
      <c r="AJ11" s="29" t="n"/>
      <c r="AK11" s="29" t="n"/>
      <c r="AL11" s="29" t="n"/>
      <c r="AM11" s="29" t="n"/>
      <c r="AN11" s="29" t="n"/>
      <c r="AO11" s="29" t="n"/>
      <c r="AP11" s="29" t="n"/>
      <c r="AQ11" s="29" t="n"/>
      <c r="AR11" s="29" t="n"/>
      <c r="AS11" s="30" t="n"/>
      <c r="AT11" s="31">
        <f>IF(L11="","",IF(L11=0,0,IF(L11=1,IF(OR(AJ11=1,AN11=1),5,IF(OR(AL11=1,AO11=1),4,IF(OR(AK11=1,AM11=1,AP11=1),3,IF(OR(AF11=1,AG11=1,AH11=1,AI11=1),2,IF(OR(AC11=1,AD11=1,AE11=1),1,IF(AQ11=1,9,"")))))),"")))</f>
        <v/>
      </c>
      <c r="AU11" s="31">
        <f>IF(L11="","",IF(L11=1,SUM(AC11:AP11),IF(L11=0,0,"")))</f>
        <v/>
      </c>
      <c r="AV11" s="29" t="n"/>
      <c r="AW11" s="29" t="n"/>
      <c r="AX11" s="29" t="n"/>
      <c r="AY11" s="29" t="n"/>
      <c r="AZ11" s="29" t="n"/>
      <c r="BA11" s="29" t="n"/>
      <c r="BB11" s="29" t="n"/>
      <c r="BC11" s="31">
        <f>IF(L11=1,SUM(AV11:AZ11),"")</f>
        <v/>
      </c>
      <c r="BD11" s="29" t="n"/>
      <c r="BE11" s="29" t="n"/>
      <c r="BF11" s="29" t="n"/>
      <c r="BG11" s="30" t="n"/>
      <c r="BH11" s="30" t="n"/>
      <c r="BI11" s="32">
        <f>TRIM(IF(AND(L11=1,M11=1),"D01 y D02 en 1; ","")&amp;IF(AND(L11=0,T11&lt;&gt;"",T11&lt;&gt;"NA"),"D01=0 con E02; ","")&amp;IF(AND(L11=0,COUNTIF(AC11:AR11,1)&gt;0),"D01=0 con F en 1; ","")&amp;IF(AND(L11=1,N11=""),"D01=1 sin D03; ","")&amp;IF(AND(AV11=1,OR(T11="",T11="NA")),"H01=1 sin E02; ","")&amp;IF(AND(AW11&lt;&gt;"",Y11&lt;&gt;"",AW11&lt;&gt;Y11),"H02 distinto de E07; ",""))</f>
        <v/>
      </c>
    </row>
    <row r="12" ht="42" customHeight="1">
      <c r="A12" s="27" t="n">
        <v>9</v>
      </c>
      <c r="B12" s="27" t="inlineStr">
        <is>
          <t>10.1038/s41539-026-00405-x</t>
        </is>
      </c>
      <c r="C12" s="28" t="inlineStr">
        <is>
          <t>A Bayesian perspective on observers' inference of group norms</t>
        </is>
      </c>
      <c r="D12" s="27" t="inlineStr">
        <is>
          <t>WOS:001736040400001</t>
        </is>
      </c>
      <c r="E12" s="27" t="inlineStr">
        <is>
          <t>NPJ SCIENCE OF LEARNING</t>
        </is>
      </c>
      <c r="F12" s="29" t="n"/>
      <c r="G12" s="29" t="n"/>
      <c r="H12" s="29" t="n"/>
      <c r="I12" s="27" t="inlineStr">
        <is>
          <t>MSC</t>
        </is>
      </c>
      <c r="J12" s="29" t="n"/>
      <c r="K12" s="29" t="n"/>
      <c r="L12" s="29" t="n"/>
      <c r="M12" s="29" t="n"/>
      <c r="N12" s="30" t="n"/>
      <c r="O12" s="29" t="n"/>
      <c r="P12" s="29" t="n"/>
      <c r="Q12" s="31">
        <f>IF(N12="","",LEN(TRIM(N12))-LEN(SUBSTITUTE(TRIM(N12)," ",""))+1)</f>
        <v/>
      </c>
      <c r="R12" s="29" t="n"/>
      <c r="S12" s="29" t="n"/>
      <c r="T12" s="29" t="n"/>
      <c r="U12" s="29" t="n"/>
      <c r="V12" s="29" t="n"/>
      <c r="W12" s="29" t="n"/>
      <c r="X12" s="29" t="n"/>
      <c r="Y12" s="29" t="n"/>
      <c r="Z12" s="29" t="n"/>
      <c r="AA12" s="29" t="n"/>
      <c r="AB12" s="29" t="n"/>
      <c r="AC12" s="29" t="n"/>
      <c r="AD12" s="29" t="n"/>
      <c r="AE12" s="29" t="n"/>
      <c r="AF12" s="29" t="n"/>
      <c r="AG12" s="29" t="n"/>
      <c r="AH12" s="29" t="n"/>
      <c r="AI12" s="29" t="n"/>
      <c r="AJ12" s="29" t="n"/>
      <c r="AK12" s="29" t="n"/>
      <c r="AL12" s="29" t="n"/>
      <c r="AM12" s="29" t="n"/>
      <c r="AN12" s="29" t="n"/>
      <c r="AO12" s="29" t="n"/>
      <c r="AP12" s="29" t="n"/>
      <c r="AQ12" s="29" t="n"/>
      <c r="AR12" s="29" t="n"/>
      <c r="AS12" s="30" t="n"/>
      <c r="AT12" s="31">
        <f>IF(L12="","",IF(L12=0,0,IF(L12=1,IF(OR(AJ12=1,AN12=1),5,IF(OR(AL12=1,AO12=1),4,IF(OR(AK12=1,AM12=1,AP12=1),3,IF(OR(AF12=1,AG12=1,AH12=1,AI12=1),2,IF(OR(AC12=1,AD12=1,AE12=1),1,IF(AQ12=1,9,"")))))),"")))</f>
        <v/>
      </c>
      <c r="AU12" s="31">
        <f>IF(L12="","",IF(L12=1,SUM(AC12:AP12),IF(L12=0,0,"")))</f>
        <v/>
      </c>
      <c r="AV12" s="29" t="n"/>
      <c r="AW12" s="29" t="n"/>
      <c r="AX12" s="29" t="n"/>
      <c r="AY12" s="29" t="n"/>
      <c r="AZ12" s="29" t="n"/>
      <c r="BA12" s="29" t="n"/>
      <c r="BB12" s="29" t="n"/>
      <c r="BC12" s="31">
        <f>IF(L12=1,SUM(AV12:AZ12),"")</f>
        <v/>
      </c>
      <c r="BD12" s="29" t="n"/>
      <c r="BE12" s="29" t="n"/>
      <c r="BF12" s="29" t="n"/>
      <c r="BG12" s="30" t="n"/>
      <c r="BH12" s="30" t="n"/>
      <c r="BI12" s="32">
        <f>TRIM(IF(AND(L12=1,M12=1),"D01 y D02 en 1; ","")&amp;IF(AND(L12=0,T12&lt;&gt;"",T12&lt;&gt;"NA"),"D01=0 con E02; ","")&amp;IF(AND(L12=0,COUNTIF(AC12:AR12,1)&gt;0),"D01=0 con F en 1; ","")&amp;IF(AND(L12=1,N12=""),"D01=1 sin D03; ","")&amp;IF(AND(AV12=1,OR(T12="",T12="NA")),"H01=1 sin E02; ","")&amp;IF(AND(AW12&lt;&gt;"",Y12&lt;&gt;"",AW12&lt;&gt;Y12),"H02 distinto de E07; ",""))</f>
        <v/>
      </c>
    </row>
    <row r="13" ht="42" customHeight="1">
      <c r="A13" s="27" t="n">
        <v>10</v>
      </c>
      <c r="B13" s="27" t="inlineStr">
        <is>
          <t>10.3390/educsci16030372</t>
        </is>
      </c>
      <c r="C13" s="28" t="inlineStr">
        <is>
          <t>The Impact of Declining Fertility Rates on Higher Education: Global Trends, Challenges, and Solutions</t>
        </is>
      </c>
      <c r="D13" s="27" t="inlineStr">
        <is>
          <t>WOS:001725279000001</t>
        </is>
      </c>
      <c r="E13" s="27" t="inlineStr">
        <is>
          <t>EDUCATION SCIENCES</t>
        </is>
      </c>
      <c r="F13" s="29" t="n"/>
      <c r="G13" s="29" t="n"/>
      <c r="H13" s="29" t="n"/>
      <c r="I13" s="27" t="inlineStr">
        <is>
          <t>MSC</t>
        </is>
      </c>
      <c r="J13" s="29" t="n"/>
      <c r="K13" s="29" t="n"/>
      <c r="L13" s="29" t="n"/>
      <c r="M13" s="29" t="n"/>
      <c r="N13" s="30" t="n"/>
      <c r="O13" s="29" t="n"/>
      <c r="P13" s="29" t="n"/>
      <c r="Q13" s="31">
        <f>IF(N13="","",LEN(TRIM(N13))-LEN(SUBSTITUTE(TRIM(N13)," ",""))+1)</f>
        <v/>
      </c>
      <c r="R13" s="29" t="n"/>
      <c r="S13" s="29" t="n"/>
      <c r="T13" s="29" t="n"/>
      <c r="U13" s="29" t="n"/>
      <c r="V13" s="29" t="n"/>
      <c r="W13" s="29" t="n"/>
      <c r="X13" s="29" t="n"/>
      <c r="Y13" s="29" t="n"/>
      <c r="Z13" s="29" t="n"/>
      <c r="AA13" s="29" t="n"/>
      <c r="AB13" s="29" t="n"/>
      <c r="AC13" s="29" t="n"/>
      <c r="AD13" s="29" t="n"/>
      <c r="AE13" s="29" t="n"/>
      <c r="AF13" s="29" t="n"/>
      <c r="AG13" s="29" t="n"/>
      <c r="AH13" s="29" t="n"/>
      <c r="AI13" s="29" t="n"/>
      <c r="AJ13" s="29" t="n"/>
      <c r="AK13" s="29" t="n"/>
      <c r="AL13" s="29" t="n"/>
      <c r="AM13" s="29" t="n"/>
      <c r="AN13" s="29" t="n"/>
      <c r="AO13" s="29" t="n"/>
      <c r="AP13" s="29" t="n"/>
      <c r="AQ13" s="29" t="n"/>
      <c r="AR13" s="29" t="n"/>
      <c r="AS13" s="30" t="n"/>
      <c r="AT13" s="31">
        <f>IF(L13="","",IF(L13=0,0,IF(L13=1,IF(OR(AJ13=1,AN13=1),5,IF(OR(AL13=1,AO13=1),4,IF(OR(AK13=1,AM13=1,AP13=1),3,IF(OR(AF13=1,AG13=1,AH13=1,AI13=1),2,IF(OR(AC13=1,AD13=1,AE13=1),1,IF(AQ13=1,9,"")))))),"")))</f>
        <v/>
      </c>
      <c r="AU13" s="31">
        <f>IF(L13="","",IF(L13=1,SUM(AC13:AP13),IF(L13=0,0,"")))</f>
        <v/>
      </c>
      <c r="AV13" s="29" t="n"/>
      <c r="AW13" s="29" t="n"/>
      <c r="AX13" s="29" t="n"/>
      <c r="AY13" s="29" t="n"/>
      <c r="AZ13" s="29" t="n"/>
      <c r="BA13" s="29" t="n"/>
      <c r="BB13" s="29" t="n"/>
      <c r="BC13" s="31">
        <f>IF(L13=1,SUM(AV13:AZ13),"")</f>
        <v/>
      </c>
      <c r="BD13" s="29" t="n"/>
      <c r="BE13" s="29" t="n"/>
      <c r="BF13" s="29" t="n"/>
      <c r="BG13" s="30" t="n"/>
      <c r="BH13" s="30" t="n"/>
      <c r="BI13" s="32">
        <f>TRIM(IF(AND(L13=1,M13=1),"D01 y D02 en 1; ","")&amp;IF(AND(L13=0,T13&lt;&gt;"",T13&lt;&gt;"NA"),"D01=0 con E02; ","")&amp;IF(AND(L13=0,COUNTIF(AC13:AR13,1)&gt;0),"D01=0 con F en 1; ","")&amp;IF(AND(L13=1,N13=""),"D01=1 sin D03; ","")&amp;IF(AND(AV13=1,OR(T13="",T13="NA")),"H01=1 sin E02; ","")&amp;IF(AND(AW13&lt;&gt;"",Y13&lt;&gt;"",AW13&lt;&gt;Y13),"H02 distinto de E07; ",""))</f>
        <v/>
      </c>
    </row>
    <row r="14" ht="42" customHeight="1">
      <c r="A14" s="27" t="n">
        <v>11</v>
      </c>
      <c r="B14" s="27" t="inlineStr">
        <is>
          <t>10.1007/s10649-025-10450-9</t>
        </is>
      </c>
      <c r="C14" s="28" t="inlineStr">
        <is>
          <t>Playful learning opportunities: US children's mathematics and literacy home learning environments</t>
        </is>
      </c>
      <c r="D14" s="27" t="inlineStr">
        <is>
          <t>WOS:001606222500001</t>
        </is>
      </c>
      <c r="E14" s="27" t="inlineStr">
        <is>
          <t>EDUCATIONAL STUDIES IN MATHEMATICS</t>
        </is>
      </c>
      <c r="F14" s="29" t="n"/>
      <c r="G14" s="29" t="n"/>
      <c r="H14" s="29" t="n"/>
      <c r="I14" s="27" t="inlineStr">
        <is>
          <t>MSC</t>
        </is>
      </c>
      <c r="J14" s="29" t="n"/>
      <c r="K14" s="29" t="n"/>
      <c r="L14" s="29" t="n"/>
      <c r="M14" s="29" t="n"/>
      <c r="N14" s="30" t="n"/>
      <c r="O14" s="29" t="n"/>
      <c r="P14" s="29" t="n"/>
      <c r="Q14" s="31">
        <f>IF(N14="","",LEN(TRIM(N14))-LEN(SUBSTITUTE(TRIM(N14)," ",""))+1)</f>
        <v/>
      </c>
      <c r="R14" s="29" t="n"/>
      <c r="S14" s="29" t="n"/>
      <c r="T14" s="29" t="n"/>
      <c r="U14" s="29" t="n"/>
      <c r="V14" s="29" t="n"/>
      <c r="W14" s="29" t="n"/>
      <c r="X14" s="29" t="n"/>
      <c r="Y14" s="29" t="n"/>
      <c r="Z14" s="29" t="n"/>
      <c r="AA14" s="29" t="n"/>
      <c r="AB14" s="29" t="n"/>
      <c r="AC14" s="29" t="n"/>
      <c r="AD14" s="29" t="n"/>
      <c r="AE14" s="29" t="n"/>
      <c r="AF14" s="29" t="n"/>
      <c r="AG14" s="29" t="n"/>
      <c r="AH14" s="29" t="n"/>
      <c r="AI14" s="29" t="n"/>
      <c r="AJ14" s="29" t="n"/>
      <c r="AK14" s="29" t="n"/>
      <c r="AL14" s="29" t="n"/>
      <c r="AM14" s="29" t="n"/>
      <c r="AN14" s="29" t="n"/>
      <c r="AO14" s="29" t="n"/>
      <c r="AP14" s="29" t="n"/>
      <c r="AQ14" s="29" t="n"/>
      <c r="AR14" s="29" t="n"/>
      <c r="AS14" s="30" t="n"/>
      <c r="AT14" s="31">
        <f>IF(L14="","",IF(L14=0,0,IF(L14=1,IF(OR(AJ14=1,AN14=1),5,IF(OR(AL14=1,AO14=1),4,IF(OR(AK14=1,AM14=1,AP14=1),3,IF(OR(AF14=1,AG14=1,AH14=1,AI14=1),2,IF(OR(AC14=1,AD14=1,AE14=1),1,IF(AQ14=1,9,"")))))),"")))</f>
        <v/>
      </c>
      <c r="AU14" s="31">
        <f>IF(L14="","",IF(L14=1,SUM(AC14:AP14),IF(L14=0,0,"")))</f>
        <v/>
      </c>
      <c r="AV14" s="29" t="n"/>
      <c r="AW14" s="29" t="n"/>
      <c r="AX14" s="29" t="n"/>
      <c r="AY14" s="29" t="n"/>
      <c r="AZ14" s="29" t="n"/>
      <c r="BA14" s="29" t="n"/>
      <c r="BB14" s="29" t="n"/>
      <c r="BC14" s="31">
        <f>IF(L14=1,SUM(AV14:AZ14),"")</f>
        <v/>
      </c>
      <c r="BD14" s="29" t="n"/>
      <c r="BE14" s="29" t="n"/>
      <c r="BF14" s="29" t="n"/>
      <c r="BG14" s="30" t="n"/>
      <c r="BH14" s="30" t="n"/>
      <c r="BI14" s="32">
        <f>TRIM(IF(AND(L14=1,M14=1),"D01 y D02 en 1; ","")&amp;IF(AND(L14=0,T14&lt;&gt;"",T14&lt;&gt;"NA"),"D01=0 con E02; ","")&amp;IF(AND(L14=0,COUNTIF(AC14:AR14,1)&gt;0),"D01=0 con F en 1; ","")&amp;IF(AND(L14=1,N14=""),"D01=1 sin D03; ","")&amp;IF(AND(AV14=1,OR(T14="",T14="NA")),"H01=1 sin E02; ","")&amp;IF(AND(AW14&lt;&gt;"",Y14&lt;&gt;"",AW14&lt;&gt;Y14),"H02 distinto de E07; ",""))</f>
        <v/>
      </c>
    </row>
    <row r="15" ht="42" customHeight="1">
      <c r="A15" s="27" t="n">
        <v>12</v>
      </c>
      <c r="B15" s="27" t="inlineStr">
        <is>
          <t>10.1111/modl.70025</t>
        </is>
      </c>
      <c r="C15" s="28" t="inlineStr">
        <is>
          <t>Transnational literacy experiences and chronotopic identity work: A duoethnography of returnee English language teachers in China</t>
        </is>
      </c>
      <c r="D15" s="27" t="inlineStr">
        <is>
          <t>WOS:001657144500001</t>
        </is>
      </c>
      <c r="E15" s="27" t="inlineStr">
        <is>
          <t>MODERN LANGUAGE JOURNAL</t>
        </is>
      </c>
      <c r="F15" s="29" t="n"/>
      <c r="G15" s="29" t="n"/>
      <c r="H15" s="29" t="n"/>
      <c r="I15" s="27" t="inlineStr">
        <is>
          <t>MSC</t>
        </is>
      </c>
      <c r="J15" s="29" t="n"/>
      <c r="K15" s="29" t="n"/>
      <c r="L15" s="29" t="n"/>
      <c r="M15" s="29" t="n"/>
      <c r="N15" s="30" t="n"/>
      <c r="O15" s="29" t="n"/>
      <c r="P15" s="29" t="n"/>
      <c r="Q15" s="31">
        <f>IF(N15="","",LEN(TRIM(N15))-LEN(SUBSTITUTE(TRIM(N15)," ",""))+1)</f>
        <v/>
      </c>
      <c r="R15" s="29" t="n"/>
      <c r="S15" s="29" t="n"/>
      <c r="T15" s="29" t="n"/>
      <c r="U15" s="29" t="n"/>
      <c r="V15" s="29" t="n"/>
      <c r="W15" s="29" t="n"/>
      <c r="X15" s="29" t="n"/>
      <c r="Y15" s="29" t="n"/>
      <c r="Z15" s="29" t="n"/>
      <c r="AA15" s="29" t="n"/>
      <c r="AB15" s="29" t="n"/>
      <c r="AC15" s="29" t="n"/>
      <c r="AD15" s="29" t="n"/>
      <c r="AE15" s="29" t="n"/>
      <c r="AF15" s="29" t="n"/>
      <c r="AG15" s="29" t="n"/>
      <c r="AH15" s="29" t="n"/>
      <c r="AI15" s="29" t="n"/>
      <c r="AJ15" s="29" t="n"/>
      <c r="AK15" s="29" t="n"/>
      <c r="AL15" s="29" t="n"/>
      <c r="AM15" s="29" t="n"/>
      <c r="AN15" s="29" t="n"/>
      <c r="AO15" s="29" t="n"/>
      <c r="AP15" s="29" t="n"/>
      <c r="AQ15" s="29" t="n"/>
      <c r="AR15" s="29" t="n"/>
      <c r="AS15" s="30" t="n"/>
      <c r="AT15" s="31">
        <f>IF(L15="","",IF(L15=0,0,IF(L15=1,IF(OR(AJ15=1,AN15=1),5,IF(OR(AL15=1,AO15=1),4,IF(OR(AK15=1,AM15=1,AP15=1),3,IF(OR(AF15=1,AG15=1,AH15=1,AI15=1),2,IF(OR(AC15=1,AD15=1,AE15=1),1,IF(AQ15=1,9,"")))))),"")))</f>
        <v/>
      </c>
      <c r="AU15" s="31">
        <f>IF(L15="","",IF(L15=1,SUM(AC15:AP15),IF(L15=0,0,"")))</f>
        <v/>
      </c>
      <c r="AV15" s="29" t="n"/>
      <c r="AW15" s="29" t="n"/>
      <c r="AX15" s="29" t="n"/>
      <c r="AY15" s="29" t="n"/>
      <c r="AZ15" s="29" t="n"/>
      <c r="BA15" s="29" t="n"/>
      <c r="BB15" s="29" t="n"/>
      <c r="BC15" s="31">
        <f>IF(L15=1,SUM(AV15:AZ15),"")</f>
        <v/>
      </c>
      <c r="BD15" s="29" t="n"/>
      <c r="BE15" s="29" t="n"/>
      <c r="BF15" s="29" t="n"/>
      <c r="BG15" s="30" t="n"/>
      <c r="BH15" s="30" t="n"/>
      <c r="BI15" s="32">
        <f>TRIM(IF(AND(L15=1,M15=1),"D01 y D02 en 1; ","")&amp;IF(AND(L15=0,T15&lt;&gt;"",T15&lt;&gt;"NA"),"D01=0 con E02; ","")&amp;IF(AND(L15=0,COUNTIF(AC15:AR15,1)&gt;0),"D01=0 con F en 1; ","")&amp;IF(AND(L15=1,N15=""),"D01=1 sin D03; ","")&amp;IF(AND(AV15=1,OR(T15="",T15="NA")),"H01=1 sin E02; ","")&amp;IF(AND(AW15&lt;&gt;"",Y15&lt;&gt;"",AW15&lt;&gt;Y15),"H02 distinto de E07; ",""))</f>
        <v/>
      </c>
    </row>
    <row r="16" ht="42" customHeight="1">
      <c r="A16" s="27" t="n">
        <v>13</v>
      </c>
      <c r="B16" s="27" t="inlineStr">
        <is>
          <t>10.15561/20755279.2025.0106</t>
        </is>
      </c>
      <c r="C16" s="28" t="inlineStr">
        <is>
          <t>Examining the warm-up knowledge levels of amateur football players</t>
        </is>
      </c>
      <c r="D16" s="27" t="inlineStr">
        <is>
          <t>WOS:001436033600006</t>
        </is>
      </c>
      <c r="E16" s="27" t="inlineStr">
        <is>
          <t>PHYSICAL EDUCATION OF STUDENTS</t>
        </is>
      </c>
      <c r="F16" s="29" t="n"/>
      <c r="G16" s="29" t="n"/>
      <c r="H16" s="29" t="n"/>
      <c r="I16" s="27" t="inlineStr">
        <is>
          <t>MSC</t>
        </is>
      </c>
      <c r="J16" s="29" t="n"/>
      <c r="K16" s="29" t="n"/>
      <c r="L16" s="29" t="n"/>
      <c r="M16" s="29" t="n"/>
      <c r="N16" s="30" t="n"/>
      <c r="O16" s="29" t="n"/>
      <c r="P16" s="29" t="n"/>
      <c r="Q16" s="31">
        <f>IF(N16="","",LEN(TRIM(N16))-LEN(SUBSTITUTE(TRIM(N16)," ",""))+1)</f>
        <v/>
      </c>
      <c r="R16" s="29" t="n"/>
      <c r="S16" s="29" t="n"/>
      <c r="T16" s="29" t="n"/>
      <c r="U16" s="29" t="n"/>
      <c r="V16" s="29" t="n"/>
      <c r="W16" s="29" t="n"/>
      <c r="X16" s="29" t="n"/>
      <c r="Y16" s="29" t="n"/>
      <c r="Z16" s="29" t="n"/>
      <c r="AA16" s="29" t="n"/>
      <c r="AB16" s="29" t="n"/>
      <c r="AC16" s="29" t="n"/>
      <c r="AD16" s="29" t="n"/>
      <c r="AE16" s="29" t="n"/>
      <c r="AF16" s="29" t="n"/>
      <c r="AG16" s="29" t="n"/>
      <c r="AH16" s="29" t="n"/>
      <c r="AI16" s="29" t="n"/>
      <c r="AJ16" s="29" t="n"/>
      <c r="AK16" s="29" t="n"/>
      <c r="AL16" s="29" t="n"/>
      <c r="AM16" s="29" t="n"/>
      <c r="AN16" s="29" t="n"/>
      <c r="AO16" s="29" t="n"/>
      <c r="AP16" s="29" t="n"/>
      <c r="AQ16" s="29" t="n"/>
      <c r="AR16" s="29" t="n"/>
      <c r="AS16" s="30" t="n"/>
      <c r="AT16" s="31">
        <f>IF(L16="","",IF(L16=0,0,IF(L16=1,IF(OR(AJ16=1,AN16=1),5,IF(OR(AL16=1,AO16=1),4,IF(OR(AK16=1,AM16=1,AP16=1),3,IF(OR(AF16=1,AG16=1,AH16=1,AI16=1),2,IF(OR(AC16=1,AD16=1,AE16=1),1,IF(AQ16=1,9,"")))))),"")))</f>
        <v/>
      </c>
      <c r="AU16" s="31">
        <f>IF(L16="","",IF(L16=1,SUM(AC16:AP16),IF(L16=0,0,"")))</f>
        <v/>
      </c>
      <c r="AV16" s="29" t="n"/>
      <c r="AW16" s="29" t="n"/>
      <c r="AX16" s="29" t="n"/>
      <c r="AY16" s="29" t="n"/>
      <c r="AZ16" s="29" t="n"/>
      <c r="BA16" s="29" t="n"/>
      <c r="BB16" s="29" t="n"/>
      <c r="BC16" s="31">
        <f>IF(L16=1,SUM(AV16:AZ16),"")</f>
        <v/>
      </c>
      <c r="BD16" s="29" t="n"/>
      <c r="BE16" s="29" t="n"/>
      <c r="BF16" s="29" t="n"/>
      <c r="BG16" s="30" t="n"/>
      <c r="BH16" s="30" t="n"/>
      <c r="BI16" s="32">
        <f>TRIM(IF(AND(L16=1,M16=1),"D01 y D02 en 1; ","")&amp;IF(AND(L16=0,T16&lt;&gt;"",T16&lt;&gt;"NA"),"D01=0 con E02; ","")&amp;IF(AND(L16=0,COUNTIF(AC16:AR16,1)&gt;0),"D01=0 con F en 1; ","")&amp;IF(AND(L16=1,N16=""),"D01=1 sin D03; ","")&amp;IF(AND(AV16=1,OR(T16="",T16="NA")),"H01=1 sin E02; ","")&amp;IF(AND(AW16&lt;&gt;"",Y16&lt;&gt;"",AW16&lt;&gt;Y16),"H02 distinto de E07; ",""))</f>
        <v/>
      </c>
    </row>
    <row r="17" ht="42" customHeight="1">
      <c r="A17" s="27" t="n">
        <v>14</v>
      </c>
      <c r="B17" s="27" t="inlineStr">
        <is>
          <t>10.51865/JESP.2026.1.20</t>
        </is>
      </c>
      <c r="C17" s="28" t="inlineStr">
        <is>
          <t>From idealism to reality: the emotional demandes of the teaching profession and the psychological readiness of perspective teachers</t>
        </is>
      </c>
      <c r="D17" s="27" t="inlineStr">
        <is>
          <t>WOS:001813164400020</t>
        </is>
      </c>
      <c r="E17" s="27" t="inlineStr">
        <is>
          <t>JOURNAL OF EDUCATIONAL SCIENCES &amp; PSYCHOLOGY</t>
        </is>
      </c>
      <c r="F17" s="29" t="n"/>
      <c r="G17" s="29" t="n"/>
      <c r="H17" s="29" t="n"/>
      <c r="I17" s="27" t="inlineStr">
        <is>
          <t>MSC</t>
        </is>
      </c>
      <c r="J17" s="29" t="n"/>
      <c r="K17" s="29" t="n"/>
      <c r="L17" s="29" t="n"/>
      <c r="M17" s="29" t="n"/>
      <c r="N17" s="30" t="n"/>
      <c r="O17" s="29" t="n"/>
      <c r="P17" s="29" t="n"/>
      <c r="Q17" s="31">
        <f>IF(N17="","",LEN(TRIM(N17))-LEN(SUBSTITUTE(TRIM(N17)," ",""))+1)</f>
        <v/>
      </c>
      <c r="R17" s="29" t="n"/>
      <c r="S17" s="29" t="n"/>
      <c r="T17" s="29" t="n"/>
      <c r="U17" s="29" t="n"/>
      <c r="V17" s="29" t="n"/>
      <c r="W17" s="29" t="n"/>
      <c r="X17" s="29" t="n"/>
      <c r="Y17" s="29" t="n"/>
      <c r="Z17" s="29" t="n"/>
      <c r="AA17" s="29" t="n"/>
      <c r="AB17" s="29" t="n"/>
      <c r="AC17" s="29" t="n"/>
      <c r="AD17" s="29" t="n"/>
      <c r="AE17" s="29" t="n"/>
      <c r="AF17" s="29" t="n"/>
      <c r="AG17" s="29" t="n"/>
      <c r="AH17" s="29" t="n"/>
      <c r="AI17" s="29" t="n"/>
      <c r="AJ17" s="29" t="n"/>
      <c r="AK17" s="29" t="n"/>
      <c r="AL17" s="29" t="n"/>
      <c r="AM17" s="29" t="n"/>
      <c r="AN17" s="29" t="n"/>
      <c r="AO17" s="29" t="n"/>
      <c r="AP17" s="29" t="n"/>
      <c r="AQ17" s="29" t="n"/>
      <c r="AR17" s="29" t="n"/>
      <c r="AS17" s="30" t="n"/>
      <c r="AT17" s="31">
        <f>IF(L17="","",IF(L17=0,0,IF(L17=1,IF(OR(AJ17=1,AN17=1),5,IF(OR(AL17=1,AO17=1),4,IF(OR(AK17=1,AM17=1,AP17=1),3,IF(OR(AF17=1,AG17=1,AH17=1,AI17=1),2,IF(OR(AC17=1,AD17=1,AE17=1),1,IF(AQ17=1,9,"")))))),"")))</f>
        <v/>
      </c>
      <c r="AU17" s="31">
        <f>IF(L17="","",IF(L17=1,SUM(AC17:AP17),IF(L17=0,0,"")))</f>
        <v/>
      </c>
      <c r="AV17" s="29" t="n"/>
      <c r="AW17" s="29" t="n"/>
      <c r="AX17" s="29" t="n"/>
      <c r="AY17" s="29" t="n"/>
      <c r="AZ17" s="29" t="n"/>
      <c r="BA17" s="29" t="n"/>
      <c r="BB17" s="29" t="n"/>
      <c r="BC17" s="31">
        <f>IF(L17=1,SUM(AV17:AZ17),"")</f>
        <v/>
      </c>
      <c r="BD17" s="29" t="n"/>
      <c r="BE17" s="29" t="n"/>
      <c r="BF17" s="29" t="n"/>
      <c r="BG17" s="30" t="n"/>
      <c r="BH17" s="30" t="n"/>
      <c r="BI17" s="32">
        <f>TRIM(IF(AND(L17=1,M17=1),"D01 y D02 en 1; ","")&amp;IF(AND(L17=0,T17&lt;&gt;"",T17&lt;&gt;"NA"),"D01=0 con E02; ","")&amp;IF(AND(L17=0,COUNTIF(AC17:AR17,1)&gt;0),"D01=0 con F en 1; ","")&amp;IF(AND(L17=1,N17=""),"D01=1 sin D03; ","")&amp;IF(AND(AV17=1,OR(T17="",T17="NA")),"H01=1 sin E02; ","")&amp;IF(AND(AW17&lt;&gt;"",Y17&lt;&gt;"",AW17&lt;&gt;Y17),"H02 distinto de E07; ",""))</f>
        <v/>
      </c>
    </row>
    <row r="18" ht="42" customHeight="1">
      <c r="A18" s="27" t="n">
        <v>15</v>
      </c>
      <c r="B18" s="27" t="inlineStr">
        <is>
          <t>10.1186/s12909-025-07133-7</t>
        </is>
      </c>
      <c r="C18" s="28" t="inlineStr">
        <is>
          <t>Association of completing an intercalated year-long research degree with post-graduation academic success</t>
        </is>
      </c>
      <c r="D18" s="27" t="inlineStr">
        <is>
          <t>WOS:001553695100004</t>
        </is>
      </c>
      <c r="E18" s="27" t="inlineStr">
        <is>
          <t>BMC MEDICAL EDUCATION</t>
        </is>
      </c>
      <c r="F18" s="29" t="n"/>
      <c r="G18" s="29" t="n"/>
      <c r="H18" s="29" t="n"/>
      <c r="I18" s="27" t="inlineStr">
        <is>
          <t>MSC</t>
        </is>
      </c>
      <c r="J18" s="29" t="n"/>
      <c r="K18" s="29" t="n"/>
      <c r="L18" s="29" t="n"/>
      <c r="M18" s="29" t="n"/>
      <c r="N18" s="30" t="n"/>
      <c r="O18" s="29" t="n"/>
      <c r="P18" s="29" t="n"/>
      <c r="Q18" s="31">
        <f>IF(N18="","",LEN(TRIM(N18))-LEN(SUBSTITUTE(TRIM(N18)," ",""))+1)</f>
        <v/>
      </c>
      <c r="R18" s="29" t="n"/>
      <c r="S18" s="29" t="n"/>
      <c r="T18" s="29" t="n"/>
      <c r="U18" s="29" t="n"/>
      <c r="V18" s="29" t="n"/>
      <c r="W18" s="29" t="n"/>
      <c r="X18" s="29" t="n"/>
      <c r="Y18" s="29" t="n"/>
      <c r="Z18" s="29" t="n"/>
      <c r="AA18" s="29" t="n"/>
      <c r="AB18" s="29" t="n"/>
      <c r="AC18" s="29" t="n"/>
      <c r="AD18" s="29" t="n"/>
      <c r="AE18" s="29" t="n"/>
      <c r="AF18" s="29" t="n"/>
      <c r="AG18" s="29" t="n"/>
      <c r="AH18" s="29" t="n"/>
      <c r="AI18" s="29" t="n"/>
      <c r="AJ18" s="29" t="n"/>
      <c r="AK18" s="29" t="n"/>
      <c r="AL18" s="29" t="n"/>
      <c r="AM18" s="29" t="n"/>
      <c r="AN18" s="29" t="n"/>
      <c r="AO18" s="29" t="n"/>
      <c r="AP18" s="29" t="n"/>
      <c r="AQ18" s="29" t="n"/>
      <c r="AR18" s="29" t="n"/>
      <c r="AS18" s="30" t="n"/>
      <c r="AT18" s="31">
        <f>IF(L18="","",IF(L18=0,0,IF(L18=1,IF(OR(AJ18=1,AN18=1),5,IF(OR(AL18=1,AO18=1),4,IF(OR(AK18=1,AM18=1,AP18=1),3,IF(OR(AF18=1,AG18=1,AH18=1,AI18=1),2,IF(OR(AC18=1,AD18=1,AE18=1),1,IF(AQ18=1,9,"")))))),"")))</f>
        <v/>
      </c>
      <c r="AU18" s="31">
        <f>IF(L18="","",IF(L18=1,SUM(AC18:AP18),IF(L18=0,0,"")))</f>
        <v/>
      </c>
      <c r="AV18" s="29" t="n"/>
      <c r="AW18" s="29" t="n"/>
      <c r="AX18" s="29" t="n"/>
      <c r="AY18" s="29" t="n"/>
      <c r="AZ18" s="29" t="n"/>
      <c r="BA18" s="29" t="n"/>
      <c r="BB18" s="29" t="n"/>
      <c r="BC18" s="31">
        <f>IF(L18=1,SUM(AV18:AZ18),"")</f>
        <v/>
      </c>
      <c r="BD18" s="29" t="n"/>
      <c r="BE18" s="29" t="n"/>
      <c r="BF18" s="29" t="n"/>
      <c r="BG18" s="30" t="n"/>
      <c r="BH18" s="30" t="n"/>
      <c r="BI18" s="32">
        <f>TRIM(IF(AND(L18=1,M18=1),"D01 y D02 en 1; ","")&amp;IF(AND(L18=0,T18&lt;&gt;"",T18&lt;&gt;"NA"),"D01=0 con E02; ","")&amp;IF(AND(L18=0,COUNTIF(AC18:AR18,1)&gt;0),"D01=0 con F en 1; ","")&amp;IF(AND(L18=1,N18=""),"D01=1 sin D03; ","")&amp;IF(AND(AV18=1,OR(T18="",T18="NA")),"H01=1 sin E02; ","")&amp;IF(AND(AW18&lt;&gt;"",Y18&lt;&gt;"",AW18&lt;&gt;Y18),"H02 distinto de E07; ",""))</f>
        <v/>
      </c>
    </row>
    <row r="19" ht="42" customHeight="1">
      <c r="A19" s="27" t="n">
        <v>16</v>
      </c>
      <c r="B19" s="27" t="inlineStr">
        <is>
          <t>10.3389/feduc.2024.1471702</t>
        </is>
      </c>
      <c r="C19" s="28" t="inlineStr">
        <is>
          <t>Managing complexity in cross-cohort classrooms: strategies for effective implementation of real-life projects</t>
        </is>
      </c>
      <c r="D19" s="27" t="inlineStr">
        <is>
          <t>WOS:001400901300001</t>
        </is>
      </c>
      <c r="E19" s="27" t="inlineStr">
        <is>
          <t>FRONTIERS IN EDUCATION</t>
        </is>
      </c>
      <c r="F19" s="29" t="n"/>
      <c r="G19" s="29" t="n"/>
      <c r="H19" s="29" t="n"/>
      <c r="I19" s="27" t="inlineStr">
        <is>
          <t>MSC</t>
        </is>
      </c>
      <c r="J19" s="29" t="n"/>
      <c r="K19" s="29" t="n"/>
      <c r="L19" s="29" t="n"/>
      <c r="M19" s="29" t="n"/>
      <c r="N19" s="30" t="n"/>
      <c r="O19" s="29" t="n"/>
      <c r="P19" s="29" t="n"/>
      <c r="Q19" s="31">
        <f>IF(N19="","",LEN(TRIM(N19))-LEN(SUBSTITUTE(TRIM(N19)," ",""))+1)</f>
        <v/>
      </c>
      <c r="R19" s="29" t="n"/>
      <c r="S19" s="29" t="n"/>
      <c r="T19" s="29" t="n"/>
      <c r="U19" s="29" t="n"/>
      <c r="V19" s="29" t="n"/>
      <c r="W19" s="29" t="n"/>
      <c r="X19" s="29" t="n"/>
      <c r="Y19" s="29" t="n"/>
      <c r="Z19" s="29" t="n"/>
      <c r="AA19" s="29" t="n"/>
      <c r="AB19" s="29" t="n"/>
      <c r="AC19" s="29" t="n"/>
      <c r="AD19" s="29" t="n"/>
      <c r="AE19" s="29" t="n"/>
      <c r="AF19" s="29" t="n"/>
      <c r="AG19" s="29" t="n"/>
      <c r="AH19" s="29" t="n"/>
      <c r="AI19" s="29" t="n"/>
      <c r="AJ19" s="29" t="n"/>
      <c r="AK19" s="29" t="n"/>
      <c r="AL19" s="29" t="n"/>
      <c r="AM19" s="29" t="n"/>
      <c r="AN19" s="29" t="n"/>
      <c r="AO19" s="29" t="n"/>
      <c r="AP19" s="29" t="n"/>
      <c r="AQ19" s="29" t="n"/>
      <c r="AR19" s="29" t="n"/>
      <c r="AS19" s="30" t="n"/>
      <c r="AT19" s="31">
        <f>IF(L19="","",IF(L19=0,0,IF(L19=1,IF(OR(AJ19=1,AN19=1),5,IF(OR(AL19=1,AO19=1),4,IF(OR(AK19=1,AM19=1,AP19=1),3,IF(OR(AF19=1,AG19=1,AH19=1,AI19=1),2,IF(OR(AC19=1,AD19=1,AE19=1),1,IF(AQ19=1,9,"")))))),"")))</f>
        <v/>
      </c>
      <c r="AU19" s="31">
        <f>IF(L19="","",IF(L19=1,SUM(AC19:AP19),IF(L19=0,0,"")))</f>
        <v/>
      </c>
      <c r="AV19" s="29" t="n"/>
      <c r="AW19" s="29" t="n"/>
      <c r="AX19" s="29" t="n"/>
      <c r="AY19" s="29" t="n"/>
      <c r="AZ19" s="29" t="n"/>
      <c r="BA19" s="29" t="n"/>
      <c r="BB19" s="29" t="n"/>
      <c r="BC19" s="31">
        <f>IF(L19=1,SUM(AV19:AZ19),"")</f>
        <v/>
      </c>
      <c r="BD19" s="29" t="n"/>
      <c r="BE19" s="29" t="n"/>
      <c r="BF19" s="29" t="n"/>
      <c r="BG19" s="30" t="n"/>
      <c r="BH19" s="30" t="n"/>
      <c r="BI19" s="32">
        <f>TRIM(IF(AND(L19=1,M19=1),"D01 y D02 en 1; ","")&amp;IF(AND(L19=0,T19&lt;&gt;"",T19&lt;&gt;"NA"),"D01=0 con E02; ","")&amp;IF(AND(L19=0,COUNTIF(AC19:AR19,1)&gt;0),"D01=0 con F en 1; ","")&amp;IF(AND(L19=1,N19=""),"D01=1 sin D03; ","")&amp;IF(AND(AV19=1,OR(T19="",T19="NA")),"H01=1 sin E02; ","")&amp;IF(AND(AW19&lt;&gt;"",Y19&lt;&gt;"",AW19&lt;&gt;Y19),"H02 distinto de E07; ",""))</f>
        <v/>
      </c>
    </row>
    <row r="20" ht="42" customHeight="1">
      <c r="A20" s="27" t="n">
        <v>17</v>
      </c>
      <c r="B20" s="27" t="inlineStr">
        <is>
          <t>10.1186/s12909-026-08782-y</t>
        </is>
      </c>
      <c r="C20" s="28" t="inlineStr">
        <is>
          <t>Protection or constraint? A phenomenological study of the learning experience among doctors receiving postgraduate medical education during the COVID-19 pandemic</t>
        </is>
      </c>
      <c r="D20" s="27" t="inlineStr">
        <is>
          <t>WOS:001718086400001</t>
        </is>
      </c>
      <c r="E20" s="27" t="inlineStr">
        <is>
          <t>BMC MEDICAL EDUCATION</t>
        </is>
      </c>
      <c r="F20" s="29" t="n"/>
      <c r="G20" s="29" t="n"/>
      <c r="H20" s="29" t="n"/>
      <c r="I20" s="27" t="inlineStr">
        <is>
          <t>MSC</t>
        </is>
      </c>
      <c r="J20" s="29" t="n"/>
      <c r="K20" s="29" t="n"/>
      <c r="L20" s="29" t="n"/>
      <c r="M20" s="29" t="n"/>
      <c r="N20" s="30" t="n"/>
      <c r="O20" s="29" t="n"/>
      <c r="P20" s="29" t="n"/>
      <c r="Q20" s="31">
        <f>IF(N20="","",LEN(TRIM(N20))-LEN(SUBSTITUTE(TRIM(N20)," ",""))+1)</f>
        <v/>
      </c>
      <c r="R20" s="29" t="n"/>
      <c r="S20" s="29" t="n"/>
      <c r="T20" s="29" t="n"/>
      <c r="U20" s="29" t="n"/>
      <c r="V20" s="29" t="n"/>
      <c r="W20" s="29" t="n"/>
      <c r="X20" s="29" t="n"/>
      <c r="Y20" s="29" t="n"/>
      <c r="Z20" s="29" t="n"/>
      <c r="AA20" s="29" t="n"/>
      <c r="AB20" s="29" t="n"/>
      <c r="AC20" s="29" t="n"/>
      <c r="AD20" s="29" t="n"/>
      <c r="AE20" s="29" t="n"/>
      <c r="AF20" s="29" t="n"/>
      <c r="AG20" s="29" t="n"/>
      <c r="AH20" s="29" t="n"/>
      <c r="AI20" s="29" t="n"/>
      <c r="AJ20" s="29" t="n"/>
      <c r="AK20" s="29" t="n"/>
      <c r="AL20" s="29" t="n"/>
      <c r="AM20" s="29" t="n"/>
      <c r="AN20" s="29" t="n"/>
      <c r="AO20" s="29" t="n"/>
      <c r="AP20" s="29" t="n"/>
      <c r="AQ20" s="29" t="n"/>
      <c r="AR20" s="29" t="n"/>
      <c r="AS20" s="30" t="n"/>
      <c r="AT20" s="31">
        <f>IF(L20="","",IF(L20=0,0,IF(L20=1,IF(OR(AJ20=1,AN20=1),5,IF(OR(AL20=1,AO20=1),4,IF(OR(AK20=1,AM20=1,AP20=1),3,IF(OR(AF20=1,AG20=1,AH20=1,AI20=1),2,IF(OR(AC20=1,AD20=1,AE20=1),1,IF(AQ20=1,9,"")))))),"")))</f>
        <v/>
      </c>
      <c r="AU20" s="31">
        <f>IF(L20="","",IF(L20=1,SUM(AC20:AP20),IF(L20=0,0,"")))</f>
        <v/>
      </c>
      <c r="AV20" s="29" t="n"/>
      <c r="AW20" s="29" t="n"/>
      <c r="AX20" s="29" t="n"/>
      <c r="AY20" s="29" t="n"/>
      <c r="AZ20" s="29" t="n"/>
      <c r="BA20" s="29" t="n"/>
      <c r="BB20" s="29" t="n"/>
      <c r="BC20" s="31">
        <f>IF(L20=1,SUM(AV20:AZ20),"")</f>
        <v/>
      </c>
      <c r="BD20" s="29" t="n"/>
      <c r="BE20" s="29" t="n"/>
      <c r="BF20" s="29" t="n"/>
      <c r="BG20" s="30" t="n"/>
      <c r="BH20" s="30" t="n"/>
      <c r="BI20" s="32">
        <f>TRIM(IF(AND(L20=1,M20=1),"D01 y D02 en 1; ","")&amp;IF(AND(L20=0,T20&lt;&gt;"",T20&lt;&gt;"NA"),"D01=0 con E02; ","")&amp;IF(AND(L20=0,COUNTIF(AC20:AR20,1)&gt;0),"D01=0 con F en 1; ","")&amp;IF(AND(L20=1,N20=""),"D01=1 sin D03; ","")&amp;IF(AND(AV20=1,OR(T20="",T20="NA")),"H01=1 sin E02; ","")&amp;IF(AND(AW20&lt;&gt;"",Y20&lt;&gt;"",AW20&lt;&gt;Y20),"H02 distinto de E07; ",""))</f>
        <v/>
      </c>
    </row>
    <row r="21" ht="42" customHeight="1">
      <c r="A21" s="27" t="n">
        <v>18</v>
      </c>
      <c r="B21" s="27" t="inlineStr">
        <is>
          <t>10.20368/1971-8829/1136189</t>
        </is>
      </c>
      <c r="C21" s="28" t="inlineStr">
        <is>
          <t>Designing a new teacher and educator training on Sexuality Education: the SETTE training course</t>
        </is>
      </c>
      <c r="D21" s="27" t="inlineStr">
        <is>
          <t>WOS:001553986200005</t>
        </is>
      </c>
      <c r="E21" s="27" t="inlineStr">
        <is>
          <t>JOURNAL OF E-LEARNING AND KNOWLEDGE SOCIETY</t>
        </is>
      </c>
      <c r="F21" s="29" t="n"/>
      <c r="G21" s="29" t="n"/>
      <c r="H21" s="29" t="n"/>
      <c r="I21" s="27" t="inlineStr">
        <is>
          <t>MSC</t>
        </is>
      </c>
      <c r="J21" s="29" t="n"/>
      <c r="K21" s="29" t="n"/>
      <c r="L21" s="29" t="n"/>
      <c r="M21" s="29" t="n"/>
      <c r="N21" s="30" t="n"/>
      <c r="O21" s="29" t="n"/>
      <c r="P21" s="29" t="n"/>
      <c r="Q21" s="31">
        <f>IF(N21="","",LEN(TRIM(N21))-LEN(SUBSTITUTE(TRIM(N21)," ",""))+1)</f>
        <v/>
      </c>
      <c r="R21" s="29" t="n"/>
      <c r="S21" s="29" t="n"/>
      <c r="T21" s="29" t="n"/>
      <c r="U21" s="29" t="n"/>
      <c r="V21" s="29" t="n"/>
      <c r="W21" s="29" t="n"/>
      <c r="X21" s="29" t="n"/>
      <c r="Y21" s="29" t="n"/>
      <c r="Z21" s="29" t="n"/>
      <c r="AA21" s="29" t="n"/>
      <c r="AB21" s="29" t="n"/>
      <c r="AC21" s="29" t="n"/>
      <c r="AD21" s="29" t="n"/>
      <c r="AE21" s="29" t="n"/>
      <c r="AF21" s="29" t="n"/>
      <c r="AG21" s="29" t="n"/>
      <c r="AH21" s="29" t="n"/>
      <c r="AI21" s="29" t="n"/>
      <c r="AJ21" s="29" t="n"/>
      <c r="AK21" s="29" t="n"/>
      <c r="AL21" s="29" t="n"/>
      <c r="AM21" s="29" t="n"/>
      <c r="AN21" s="29" t="n"/>
      <c r="AO21" s="29" t="n"/>
      <c r="AP21" s="29" t="n"/>
      <c r="AQ21" s="29" t="n"/>
      <c r="AR21" s="29" t="n"/>
      <c r="AS21" s="30" t="n"/>
      <c r="AT21" s="31">
        <f>IF(L21="","",IF(L21=0,0,IF(L21=1,IF(OR(AJ21=1,AN21=1),5,IF(OR(AL21=1,AO21=1),4,IF(OR(AK21=1,AM21=1,AP21=1),3,IF(OR(AF21=1,AG21=1,AH21=1,AI21=1),2,IF(OR(AC21=1,AD21=1,AE21=1),1,IF(AQ21=1,9,"")))))),"")))</f>
        <v/>
      </c>
      <c r="AU21" s="31">
        <f>IF(L21="","",IF(L21=1,SUM(AC21:AP21),IF(L21=0,0,"")))</f>
        <v/>
      </c>
      <c r="AV21" s="29" t="n"/>
      <c r="AW21" s="29" t="n"/>
      <c r="AX21" s="29" t="n"/>
      <c r="AY21" s="29" t="n"/>
      <c r="AZ21" s="29" t="n"/>
      <c r="BA21" s="29" t="n"/>
      <c r="BB21" s="29" t="n"/>
      <c r="BC21" s="31">
        <f>IF(L21=1,SUM(AV21:AZ21),"")</f>
        <v/>
      </c>
      <c r="BD21" s="29" t="n"/>
      <c r="BE21" s="29" t="n"/>
      <c r="BF21" s="29" t="n"/>
      <c r="BG21" s="30" t="n"/>
      <c r="BH21" s="30" t="n"/>
      <c r="BI21" s="32">
        <f>TRIM(IF(AND(L21=1,M21=1),"D01 y D02 en 1; ","")&amp;IF(AND(L21=0,T21&lt;&gt;"",T21&lt;&gt;"NA"),"D01=0 con E02; ","")&amp;IF(AND(L21=0,COUNTIF(AC21:AR21,1)&gt;0),"D01=0 con F en 1; ","")&amp;IF(AND(L21=1,N21=""),"D01=1 sin D03; ","")&amp;IF(AND(AV21=1,OR(T21="",T21="NA")),"H01=1 sin E02; ","")&amp;IF(AND(AW21&lt;&gt;"",Y21&lt;&gt;"",AW21&lt;&gt;Y21),"H02 distinto de E07; ",""))</f>
        <v/>
      </c>
    </row>
    <row r="22" ht="42" customHeight="1">
      <c r="A22" s="27" t="n">
        <v>19</v>
      </c>
      <c r="B22" s="27" t="inlineStr">
        <is>
          <t>10.1007/s10643-023-01604-6</t>
        </is>
      </c>
      <c r="C22" s="28" t="inlineStr">
        <is>
          <t>Prediction of Preschool Teacher Demand Under China's Three-Child Policy: A Case Study of Shanghai</t>
        </is>
      </c>
      <c r="D22" s="27" t="inlineStr">
        <is>
          <t>WOS:001096257000001</t>
        </is>
      </c>
      <c r="E22" s="27" t="inlineStr">
        <is>
          <t>EARLY CHILDHOOD EDUCATION JOURNAL</t>
        </is>
      </c>
      <c r="F22" s="29" t="n"/>
      <c r="G22" s="29" t="n"/>
      <c r="H22" s="29" t="n"/>
      <c r="I22" s="27" t="inlineStr">
        <is>
          <t>MSC</t>
        </is>
      </c>
      <c r="J22" s="29" t="n"/>
      <c r="K22" s="29" t="n"/>
      <c r="L22" s="29" t="n"/>
      <c r="M22" s="29" t="n"/>
      <c r="N22" s="30" t="n"/>
      <c r="O22" s="29" t="n"/>
      <c r="P22" s="29" t="n"/>
      <c r="Q22" s="31">
        <f>IF(N22="","",LEN(TRIM(N22))-LEN(SUBSTITUTE(TRIM(N22)," ",""))+1)</f>
        <v/>
      </c>
      <c r="R22" s="29" t="n"/>
      <c r="S22" s="29" t="n"/>
      <c r="T22" s="29" t="n"/>
      <c r="U22" s="29" t="n"/>
      <c r="V22" s="29" t="n"/>
      <c r="W22" s="29" t="n"/>
      <c r="X22" s="29" t="n"/>
      <c r="Y22" s="29" t="n"/>
      <c r="Z22" s="29" t="n"/>
      <c r="AA22" s="29" t="n"/>
      <c r="AB22" s="29" t="n"/>
      <c r="AC22" s="29" t="n"/>
      <c r="AD22" s="29" t="n"/>
      <c r="AE22" s="29" t="n"/>
      <c r="AF22" s="29" t="n"/>
      <c r="AG22" s="29" t="n"/>
      <c r="AH22" s="29" t="n"/>
      <c r="AI22" s="29" t="n"/>
      <c r="AJ22" s="29" t="n"/>
      <c r="AK22" s="29" t="n"/>
      <c r="AL22" s="29" t="n"/>
      <c r="AM22" s="29" t="n"/>
      <c r="AN22" s="29" t="n"/>
      <c r="AO22" s="29" t="n"/>
      <c r="AP22" s="29" t="n"/>
      <c r="AQ22" s="29" t="n"/>
      <c r="AR22" s="29" t="n"/>
      <c r="AS22" s="30" t="n"/>
      <c r="AT22" s="31">
        <f>IF(L22="","",IF(L22=0,0,IF(L22=1,IF(OR(AJ22=1,AN22=1),5,IF(OR(AL22=1,AO22=1),4,IF(OR(AK22=1,AM22=1,AP22=1),3,IF(OR(AF22=1,AG22=1,AH22=1,AI22=1),2,IF(OR(AC22=1,AD22=1,AE22=1),1,IF(AQ22=1,9,"")))))),"")))</f>
        <v/>
      </c>
      <c r="AU22" s="31">
        <f>IF(L22="","",IF(L22=1,SUM(AC22:AP22),IF(L22=0,0,"")))</f>
        <v/>
      </c>
      <c r="AV22" s="29" t="n"/>
      <c r="AW22" s="29" t="n"/>
      <c r="AX22" s="29" t="n"/>
      <c r="AY22" s="29" t="n"/>
      <c r="AZ22" s="29" t="n"/>
      <c r="BA22" s="29" t="n"/>
      <c r="BB22" s="29" t="n"/>
      <c r="BC22" s="31">
        <f>IF(L22=1,SUM(AV22:AZ22),"")</f>
        <v/>
      </c>
      <c r="BD22" s="29" t="n"/>
      <c r="BE22" s="29" t="n"/>
      <c r="BF22" s="29" t="n"/>
      <c r="BG22" s="30" t="n"/>
      <c r="BH22" s="30" t="n"/>
      <c r="BI22" s="32">
        <f>TRIM(IF(AND(L22=1,M22=1),"D01 y D02 en 1; ","")&amp;IF(AND(L22=0,T22&lt;&gt;"",T22&lt;&gt;"NA"),"D01=0 con E02; ","")&amp;IF(AND(L22=0,COUNTIF(AC22:AR22,1)&gt;0),"D01=0 con F en 1; ","")&amp;IF(AND(L22=1,N22=""),"D01=1 sin D03; ","")&amp;IF(AND(AV22=1,OR(T22="",T22="NA")),"H01=1 sin E02; ","")&amp;IF(AND(AW22&lt;&gt;"",Y22&lt;&gt;"",AW22&lt;&gt;Y22),"H02 distinto de E07; ",""))</f>
        <v/>
      </c>
    </row>
    <row r="23" ht="42" customHeight="1">
      <c r="A23" s="27" t="n">
        <v>20</v>
      </c>
      <c r="B23" s="27" t="inlineStr">
        <is>
          <t>10.3389/feduc.2026.1830867</t>
        </is>
      </c>
      <c r="C23" s="28" t="inlineStr">
        <is>
          <t>Proposal for an "entrepreneurial attitude" program to improve the ability to create companies in Peruvian university students</t>
        </is>
      </c>
      <c r="D23" s="27" t="inlineStr">
        <is>
          <t>WOS:001783079000001</t>
        </is>
      </c>
      <c r="E23" s="27" t="inlineStr">
        <is>
          <t>FRONTIERS IN EDUCATION</t>
        </is>
      </c>
      <c r="F23" s="29" t="n"/>
      <c r="G23" s="29" t="n"/>
      <c r="H23" s="29" t="n"/>
      <c r="I23" s="27" t="inlineStr">
        <is>
          <t>MSC</t>
        </is>
      </c>
      <c r="J23" s="29" t="n"/>
      <c r="K23" s="29" t="n"/>
      <c r="L23" s="29" t="n"/>
      <c r="M23" s="29" t="n"/>
      <c r="N23" s="30" t="n"/>
      <c r="O23" s="29" t="n"/>
      <c r="P23" s="29" t="n"/>
      <c r="Q23" s="31">
        <f>IF(N23="","",LEN(TRIM(N23))-LEN(SUBSTITUTE(TRIM(N23)," ",""))+1)</f>
        <v/>
      </c>
      <c r="R23" s="29" t="n"/>
      <c r="S23" s="29" t="n"/>
      <c r="T23" s="29" t="n"/>
      <c r="U23" s="29" t="n"/>
      <c r="V23" s="29" t="n"/>
      <c r="W23" s="29" t="n"/>
      <c r="X23" s="29" t="n"/>
      <c r="Y23" s="29" t="n"/>
      <c r="Z23" s="29" t="n"/>
      <c r="AA23" s="29" t="n"/>
      <c r="AB23" s="29" t="n"/>
      <c r="AC23" s="29" t="n"/>
      <c r="AD23" s="29" t="n"/>
      <c r="AE23" s="29" t="n"/>
      <c r="AF23" s="29" t="n"/>
      <c r="AG23" s="29" t="n"/>
      <c r="AH23" s="29" t="n"/>
      <c r="AI23" s="29" t="n"/>
      <c r="AJ23" s="29" t="n"/>
      <c r="AK23" s="29" t="n"/>
      <c r="AL23" s="29" t="n"/>
      <c r="AM23" s="29" t="n"/>
      <c r="AN23" s="29" t="n"/>
      <c r="AO23" s="29" t="n"/>
      <c r="AP23" s="29" t="n"/>
      <c r="AQ23" s="29" t="n"/>
      <c r="AR23" s="29" t="n"/>
      <c r="AS23" s="30" t="n"/>
      <c r="AT23" s="31">
        <f>IF(L23="","",IF(L23=0,0,IF(L23=1,IF(OR(AJ23=1,AN23=1),5,IF(OR(AL23=1,AO23=1),4,IF(OR(AK23=1,AM23=1,AP23=1),3,IF(OR(AF23=1,AG23=1,AH23=1,AI23=1),2,IF(OR(AC23=1,AD23=1,AE23=1),1,IF(AQ23=1,9,"")))))),"")))</f>
        <v/>
      </c>
      <c r="AU23" s="31">
        <f>IF(L23="","",IF(L23=1,SUM(AC23:AP23),IF(L23=0,0,"")))</f>
        <v/>
      </c>
      <c r="AV23" s="29" t="n"/>
      <c r="AW23" s="29" t="n"/>
      <c r="AX23" s="29" t="n"/>
      <c r="AY23" s="29" t="n"/>
      <c r="AZ23" s="29" t="n"/>
      <c r="BA23" s="29" t="n"/>
      <c r="BB23" s="29" t="n"/>
      <c r="BC23" s="31">
        <f>IF(L23=1,SUM(AV23:AZ23),"")</f>
        <v/>
      </c>
      <c r="BD23" s="29" t="n"/>
      <c r="BE23" s="29" t="n"/>
      <c r="BF23" s="29" t="n"/>
      <c r="BG23" s="30" t="n"/>
      <c r="BH23" s="30" t="n"/>
      <c r="BI23" s="32">
        <f>TRIM(IF(AND(L23=1,M23=1),"D01 y D02 en 1; ","")&amp;IF(AND(L23=0,T23&lt;&gt;"",T23&lt;&gt;"NA"),"D01=0 con E02; ","")&amp;IF(AND(L23=0,COUNTIF(AC23:AR23,1)&gt;0),"D01=0 con F en 1; ","")&amp;IF(AND(L23=1,N23=""),"D01=1 sin D03; ","")&amp;IF(AND(AV23=1,OR(T23="",T23="NA")),"H01=1 sin E02; ","")&amp;IF(AND(AW23&lt;&gt;"",Y23&lt;&gt;"",AW23&lt;&gt;Y23),"H02 distinto de E07; ",""))</f>
        <v/>
      </c>
    </row>
    <row r="25">
      <c r="B25" s="33" t="inlineStr">
        <is>
          <t>Leyenda</t>
        </is>
      </c>
    </row>
    <row r="26">
      <c r="B26" s="34" t="inlineStr">
        <is>
          <t>Precargado desde WoS</t>
        </is>
      </c>
    </row>
    <row r="27">
      <c r="B27" s="35" t="inlineStr">
        <is>
          <t>Celda para codificar</t>
        </is>
      </c>
    </row>
    <row r="28">
      <c r="B28" s="36" t="inlineStr">
        <is>
          <t>Se calcula sola</t>
        </is>
      </c>
    </row>
  </sheetData>
  <dataValidations count="40">
    <dataValidation sqref="F4:F23" showDropDown="0" showInputMessage="0" showErrorMessage="1" allowBlank="1" errorTitle="A05 Elegible" error="Valores permitidos: 0 = no; 1 = sí" type="list">
      <formula1>"0,1"</formula1>
    </dataValidation>
    <dataValidation sqref="G4:G23" showDropDown="0" showInputMessage="0" showErrorMessage="1" allowBlank="1" errorTitle="A06 Motivo de exclusión" error="Valores permitidos: E1; E2; E3; E4; NA" type="list">
      <formula1>"E1,E2,E3,E4,NA"</formula1>
    </dataValidation>
    <dataValidation sqref="H4:H23" showDropDown="0" showInputMessage="0" showErrorMessage="1" allowBlank="1" errorTitle="A07 Vía de acceso" error="Valores permitidos: 1 acceso abierto; 2 suscripción UCM; 3 solicitud al autor" type="list">
      <formula1>"1,2,3"</formula1>
    </dataValidation>
    <dataValidation sqref="K4:K23" showDropDown="0" showInputMessage="0" showErrorMessage="1" allowBlank="1" errorTitle="B22 Tipo de estudio" error="Valores permitidos: 1 cuantitativo; 2 cualitativo; 3 mixto; 4 experimental o ensayo; 5 computacional o simulación; 6 desarrollo tecnológico" type="list">
      <formula1>"1,2,3,4,5,6"</formula1>
    </dataValidation>
    <dataValidation sqref="L4:L23" showDropDown="0" showInputMessage="0" showErrorMessage="1" allowBlank="1" errorTitle="D01 Declara uso de IA" error="Valores permitidos: 0 = no; 1 = sí; 9 = ambiguo (resolver)" type="list">
      <formula1>"0,1,9"</formula1>
    </dataValidation>
    <dataValidation sqref="M4:M23" showDropDown="0" showInputMessage="0" showErrorMessage="1" allowBlank="1" errorTitle="D02 Declara no uso" error="Valores permitidos: 0 = no; 1 = sí" type="list">
      <formula1>"0,1"</formula1>
    </dataValidation>
    <dataValidation sqref="O4:O23" showDropDown="0" showInputMessage="0" showErrorMessage="1" allowBlank="1" errorTitle="D04 Ubicación" error="Valores permitidos: 1 Métodos; 2 Agradecimientos; 3 declaración específica de IA; 4 otra declaración final; 5 suplementario; 6 otra; NA" type="list">
      <formula1>"1,2,3,4,5,6,NA"</formula1>
    </dataValidation>
    <dataValidation sqref="P4:P23" showDropDown="0" showInputMessage="0" showErrorMessage="1" allowBlank="1" errorTitle="D05 Ubicación múltiple" error="Valores permitidos: 0 = no; 1 = sí; NA" type="list">
      <formula1>"0,1,NA"</formula1>
    </dataValidation>
    <dataValidation sqref="R4:R23" showDropDown="0" showInputMessage="0" showErrorMessage="1" allowBlank="1" errorTitle="D07 Plantilla editorial" error="Valores permitidos: 0 = no; 1 = sí; NA" type="list">
      <formula1>"0,1,NA"</formula1>
    </dataValidation>
    <dataValidation sqref="S4:S23" showDropDown="0" showInputMessage="0" showErrorMessage="1" allowBlank="1" errorTitle="E01 N.º de herramientas" error="Valores permitidos: Entero (NA si D01 = 0)" type="whole" operator="greaterThanOrEqual">
      <formula1>0</formula1>
    </dataValidation>
    <dataValidation sqref="W4:W23" showDropDown="0" showInputMessage="0" showErrorMessage="1" allowBlank="1" errorTitle="E05 Tipo de herramienta" error="Valores permitidos: 1 LLM conversacional; 2 asistente de escritura; 3 traductor; 4 asistente de código; 5 búsqueda o síntesis bibliográfica; 6 generador de imágenes; 7 otro; 8 no identificada; NA" type="list">
      <formula1>"1,2,3,4,5,6,7,8,NA"</formula1>
    </dataValidation>
    <dataValidation sqref="Y4:Y23" showDropDown="0" showInputMessage="0" showErrorMessage="1" allowBlank="1" errorTitle="E07 Declara modelo/versión" error="Valores permitidos: 0 = no; 1 = sí; NA" type="list">
      <formula1>"0,1,NA"</formula1>
    </dataValidation>
    <dataValidation sqref="AA4:AA23" showDropDown="0" showInputMessage="0" showErrorMessage="1" allowBlank="1" errorTitle="E09 Declara fecha de uso" error="Valores permitidos: 0 = no; 1 = sí; NA" type="list">
      <formula1>"0,1,NA"</formula1>
    </dataValidation>
    <dataValidation sqref="AB4:AB23" showDropDown="0" showInputMessage="0" showErrorMessage="1" allowBlank="1" errorTitle="E10 IA generativa" error="Valores permitidos: 0 = no; 1 = sí; 9 = incierto; NA" type="list">
      <formula1>"0,1,9,NA"</formula1>
    </dataValidation>
    <dataValidation sqref="AC4:AC23" showDropDown="0" showInputMessage="0" showErrorMessage="1" allowBlank="1" errorTitle="F01 Corrección gramatical" error="Valores permitidos: 0 = no; 1 = sí; NA" type="list">
      <formula1>"0,1,NA"</formula1>
    </dataValidation>
    <dataValidation sqref="AD4:AD23" showDropDown="0" showInputMessage="0" showErrorMessage="1" allowBlank="1" errorTitle="F02 Estilo o legibilidad" error="Valores permitidos: 0 = no; 1 = sí; NA" type="list">
      <formula1>"0,1,NA"</formula1>
    </dataValidation>
    <dataValidation sqref="AE4:AE23" showDropDown="0" showInputMessage="0" showErrorMessage="1" allowBlank="1" errorTitle="F03 Traducción" error="Valores permitidos: 0 = no; 1 = sí; NA" type="list">
      <formula1>"0,1,NA"</formula1>
    </dataValidation>
    <dataValidation sqref="AF4:AF23" showDropDown="0" showInputMessage="0" showErrorMessage="1" allowBlank="1" errorTitle="F04 Reescritura o paráfrasis" error="Valores permitidos: 0 = no; 1 = sí; NA" type="list">
      <formula1>"0,1,NA"</formula1>
    </dataValidation>
    <dataValidation sqref="AG4:AG23" showDropDown="0" showInputMessage="0" showErrorMessage="1" allowBlank="1" errorTitle="F05 Redacción de fragmentos" error="Valores permitidos: 0 = no; 1 = sí; NA" type="list">
      <formula1>"0,1,NA"</formula1>
    </dataValidation>
    <dataValidation sqref="AH4:AH23" showDropDown="0" showInputMessage="0" showErrorMessage="1" allowBlank="1" errorTitle="F06 Síntesis de literatura" error="Valores permitidos: 0 = no; 1 = sí; NA" type="list">
      <formula1>"0,1,NA"</formula1>
    </dataValidation>
    <dataValidation sqref="AI4:AI23" showDropDown="0" showInputMessage="0" showErrorMessage="1" allowBlank="1" errorTitle="F07 Búsqueda bibliográfica" error="Valores permitidos: 0 = no; 1 = sí; NA" type="list">
      <formula1>"0,1,NA"</formula1>
    </dataValidation>
    <dataValidation sqref="AJ4:AJ23" showDropDown="0" showInputMessage="0" showErrorMessage="1" allowBlank="1" errorTitle="F08 Ideas o hipótesis" error="Valores permitidos: 0 = no; 1 = sí; NA" type="list">
      <formula1>"0,1,NA"</formula1>
    </dataValidation>
    <dataValidation sqref="AK4:AK23" showDropDown="0" showInputMessage="0" showErrorMessage="1" allowBlank="1" errorTitle="F09 Programación" error="Valores permitidos: 0 = no; 1 = sí; NA" type="list">
      <formula1>"0,1,NA"</formula1>
    </dataValidation>
    <dataValidation sqref="AL4:AL23" showDropDown="0" showInputMessage="0" showErrorMessage="1" allowBlank="1" errorTitle="F10 Análisis de datos" error="Valores permitidos: 0 = no; 1 = sí; NA" type="list">
      <formula1>"0,1,NA"</formula1>
    </dataValidation>
    <dataValidation sqref="AM4:AM23" showDropDown="0" showInputMessage="0" showErrorMessage="1" allowBlank="1" errorTitle="F11 Figuras o visualización" error="Valores permitidos: 0 = no; 1 = sí; NA" type="list">
      <formula1>"0,1,NA"</formula1>
    </dataValidation>
    <dataValidation sqref="AN4:AN23" showDropDown="0" showInputMessage="0" showErrorMessage="1" allowBlank="1" errorTitle="F12 Interpretación" error="Valores permitidos: 0 = no; 1 = sí; NA" type="list">
      <formula1>"0,1,NA"</formula1>
    </dataValidation>
    <dataValidation sqref="AO4:AO23" showDropDown="0" showInputMessage="0" showErrorMessage="1" allowBlank="1" errorTitle="F13 Diseño metodológico" error="Valores permitidos: 0 = no; 1 = sí; NA" type="list">
      <formula1>"0,1,NA"</formula1>
    </dataValidation>
    <dataValidation sqref="AP4:AP23" showDropDown="0" showInputMessage="0" showErrorMessage="1" allowBlank="1" errorTitle="F14 Tablas y referencias" error="Valores permitidos: 0 = no; 1 = sí; NA" type="list">
      <formula1>"0,1,NA"</formula1>
    </dataValidation>
    <dataValidation sqref="AQ4:AQ23" showDropDown="0" showInputMessage="0" showErrorMessage="1" allowBlank="1" errorTitle="F15 Propósito no especificado" error="Valores permitidos: 0 = no; 1 = sí; NA" type="list">
      <formula1>"0,1,NA"</formula1>
    </dataValidation>
    <dataValidation sqref="AR4:AR23" showDropDown="0" showInputMessage="0" showErrorMessage="1" allowBlank="1" errorTitle="F16 Otro uso" error="Valores permitidos: 0 = no; 1 = sí; NA" type="list">
      <formula1>"0,1,NA"</formula1>
    </dataValidation>
    <dataValidation sqref="AV4:AV23" showDropDown="0" showInputMessage="0" showErrorMessage="1" allowBlank="1" errorTitle="H01 T: herramienta" error="Valores permitidos: 0; 1; NA" type="list">
      <formula1>"0,1,NA"</formula1>
    </dataValidation>
    <dataValidation sqref="AW4:AW23" showDropDown="0" showInputMessage="0" showErrorMessage="1" allowBlank="1" errorTitle="H02 V: versión" error="Valores permitidos: 0; 1; NA" type="list">
      <formula1>"0,1,NA"</formula1>
    </dataValidation>
    <dataValidation sqref="AX4:AX23" showDropDown="0" showInputMessage="0" showErrorMessage="1" allowBlank="1" errorTitle="H03 P: propósito" error="Valores permitidos: 0; 1; NA" type="list">
      <formula1>"0,1,NA"</formula1>
    </dataValidation>
    <dataValidation sqref="AY4:AY23" showDropDown="0" showInputMessage="0" showErrorMessage="1" allowBlank="1" errorTitle="H04 E: extensión" error="Valores permitidos: 0; 1; NA" type="list">
      <formula1>"0,1,NA"</formula1>
    </dataValidation>
    <dataValidation sqref="AZ4:AZ23" showDropDown="0" showInputMessage="0" showErrorMessage="1" allowBlank="1" errorTitle="H05 S: supervisión" error="Valores permitidos: 0; 1; NA" type="list">
      <formula1>"0,1,NA"</formula1>
    </dataValidation>
    <dataValidation sqref="BA4:BA23" showDropDown="0" showInputMessage="0" showErrorMessage="1" allowBlank="1" errorTitle="H06 Responsabilidad" error="Valores permitidos: 0; 1; NA" type="list">
      <formula1>"0,1,NA"</formula1>
    </dataValidation>
    <dataValidation sqref="BB4:BB23" showDropDown="0" showInputMessage="0" showErrorMessage="1" allowBlank="1" errorTitle="H07 Prompts disponibles" error="Valores permitidos: 0; 1; NA" type="list">
      <formula1>"0,1,NA"</formula1>
    </dataValidation>
    <dataValidation sqref="BD4:BD23" showDropDown="0" showInputMessage="0" showErrorMessage="1" allowBlank="1" errorTitle="XE1 Subárea" error="Valores permitidos: 1 investigación educativa general; 2 educación en disciplinas científicas; 3 educación especial; 4 psicología educacional" type="list">
      <formula1>"1,2,3,4"</formula1>
    </dataValidation>
    <dataValidation sqref="BE4:BE23" showDropDown="0" showInputMessage="0" showErrorMessage="1" allowBlank="1" errorTitle="XE2 Nivel educativo" error="Valores permitidos: 1 escolar; 2 superior; 3 formación docente; 4 otro" type="list">
      <formula1>"1,2,3,4"</formula1>
    </dataValidation>
    <dataValidation sqref="BF4:BF23" showDropDown="0" showInputMessage="0" showErrorMessage="1" allowBlank="1" errorTitle="XE3 Enfoque de datos" error="Valores permitidos: 1 encuesta o test; 2 entrevistas o grupos focales; 3 observación o documentos; 4 datos de plataformas; 5 mixto" type="list">
      <formula1>"1,2,3,4,5"</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80" customWidth="1" min="3" max="3"/>
    <col width="80" customWidth="1" min="4" max="4"/>
  </cols>
  <sheetData>
    <row r="1">
      <c r="A1" s="9" t="inlineStr">
        <is>
          <t>Código</t>
        </is>
      </c>
      <c r="B1" s="9" t="inlineStr">
        <is>
          <t>Variable</t>
        </is>
      </c>
      <c r="C1" s="9" t="inlineStr">
        <is>
          <t>Definición y regla</t>
        </is>
      </c>
      <c r="D1" s="9" t="inlineStr">
        <is>
          <t>Valores</t>
        </is>
      </c>
    </row>
    <row r="2" ht="15" customHeight="1">
      <c r="A2" s="37" t="inlineStr">
        <is>
          <t>A05</t>
        </is>
      </c>
      <c r="B2" s="37" t="inlineStr">
        <is>
          <t>Elegible</t>
        </is>
      </c>
      <c r="C2" s="37" t="inlineStr">
        <is>
          <t>Cumple los criterios de la sección 5 (E1 a E4).</t>
        </is>
      </c>
      <c r="D2" s="37" t="inlineStr">
        <is>
          <t>0 = no; 1 = sí</t>
        </is>
      </c>
    </row>
    <row r="3" ht="45" customHeight="1">
      <c r="A3" s="37" t="inlineStr">
        <is>
          <t>A06</t>
        </is>
      </c>
      <c r="B3" s="37" t="inlineStr">
        <is>
          <t>Motivo de exclusión</t>
        </is>
      </c>
      <c r="C3" s="37" t="inlineStr">
        <is>
          <t>Criterio de exclusión aplicado si A05 = 0: E1 la IA es el objeto de estudio; E2 documento que no es artículo original; E3 texto inaccesible; E4 retractado.</t>
        </is>
      </c>
      <c r="D3" s="37" t="inlineStr">
        <is>
          <t>E1; E2; E3; E4; NA</t>
        </is>
      </c>
    </row>
    <row r="4" ht="15" customHeight="1">
      <c r="A4" s="37" t="inlineStr">
        <is>
          <t>A07</t>
        </is>
      </c>
      <c r="B4" s="37" t="inlineStr">
        <is>
          <t>Vía de acceso</t>
        </is>
      </c>
      <c r="C4" s="37" t="inlineStr">
        <is>
          <t>Forma de obtención del texto completo.</t>
        </is>
      </c>
      <c r="D4" s="37" t="inlineStr">
        <is>
          <t>1 acceso abierto; 2 suscripción UCM; 3 solicitud al autor</t>
        </is>
      </c>
    </row>
    <row r="5" ht="15" customHeight="1">
      <c r="A5" s="37" t="inlineStr">
        <is>
          <t>A08</t>
        </is>
      </c>
      <c r="B5" s="37" t="inlineStr">
        <is>
          <t>Codificador</t>
        </is>
      </c>
      <c r="C5" s="37" t="inlineStr">
        <is>
          <t>Iniciales del estudiante.</t>
        </is>
      </c>
      <c r="D5" s="37" t="inlineStr">
        <is>
          <t>Texto</t>
        </is>
      </c>
    </row>
    <row r="6" ht="15" customHeight="1">
      <c r="A6" s="37" t="inlineStr">
        <is>
          <t>A09</t>
        </is>
      </c>
      <c r="B6" s="37" t="inlineStr">
        <is>
          <t>Fecha de codificación</t>
        </is>
      </c>
      <c r="C6" s="37" t="inlineStr">
        <is>
          <t>Fecha de revisión del artículo.</t>
        </is>
      </c>
      <c r="D6" s="37" t="inlineStr">
        <is>
          <t>AAAA-MM-DD</t>
        </is>
      </c>
    </row>
    <row r="7" ht="30" customHeight="1">
      <c r="A7" s="37" t="inlineStr">
        <is>
          <t>B22</t>
        </is>
      </c>
      <c r="B7" s="37" t="inlineStr">
        <is>
          <t>Tipo de estudio</t>
        </is>
      </c>
      <c r="C7" s="37" t="inlineStr">
        <is>
          <t>Enfoque principal del estudio.</t>
        </is>
      </c>
      <c r="D7" s="37" t="inlineStr">
        <is>
          <t>1 cuantitativo; 2 cualitativo; 3 mixto; 4 experimental o ensayo; 5 computacional o simulación; 6 desarrollo tecnológico</t>
        </is>
      </c>
    </row>
    <row r="8" ht="60" customHeight="1">
      <c r="A8" s="37" t="inlineStr">
        <is>
          <t>D01</t>
        </is>
      </c>
      <c r="B8" s="37" t="inlineStr">
        <is>
          <t>Declara uso de IA</t>
        </is>
      </c>
      <c r="C8" s="37" t="inlineStr">
        <is>
          <t>Enunciado explícito de que una herramienta de IA generativa o asistida por IA se usó en el manuscrito o en la investigación (sección 7.1). Solo se codifica 0 si la búsqueda de términos y la lectura de secciones (7.2) no dieron resultado.</t>
        </is>
      </c>
      <c r="D8" s="37" t="inlineStr">
        <is>
          <t>0 = no; 1 = sí; 9 = ambiguo (resolver)</t>
        </is>
      </c>
    </row>
    <row r="9" ht="30" customHeight="1">
      <c r="A9" s="37" t="inlineStr">
        <is>
          <t>D02</t>
        </is>
      </c>
      <c r="B9" s="37" t="inlineStr">
        <is>
          <t>Declara no uso</t>
        </is>
      </c>
      <c r="C9" s="37" t="inlineStr">
        <is>
          <t>Afirma explícitamente no haber usado IA. No cuenta como declaración de uso.</t>
        </is>
      </c>
      <c r="D9" s="37" t="inlineStr">
        <is>
          <t>0 = no; 1 = sí</t>
        </is>
      </c>
    </row>
    <row r="10" ht="15" customHeight="1">
      <c r="A10" s="37" t="inlineStr">
        <is>
          <t>D03</t>
        </is>
      </c>
      <c r="B10" s="37" t="inlineStr">
        <is>
          <t>Texto literal</t>
        </is>
      </c>
      <c r="C10" s="37" t="inlineStr">
        <is>
          <t>Transcripción completa de la declaración (o de la declaración de no uso).</t>
        </is>
      </c>
      <c r="D10" s="37" t="inlineStr">
        <is>
          <t>Texto</t>
        </is>
      </c>
    </row>
    <row r="11" ht="30" customHeight="1">
      <c r="A11" s="37" t="inlineStr">
        <is>
          <t>D04</t>
        </is>
      </c>
      <c r="B11" s="37" t="inlineStr">
        <is>
          <t>Ubicación</t>
        </is>
      </c>
      <c r="C11" s="37" t="inlineStr">
        <is>
          <t>Sección donde aparece la declaración principal.</t>
        </is>
      </c>
      <c r="D11" s="37" t="inlineStr">
        <is>
          <t>1 Métodos; 2 Agradecimientos; 3 declaración específica de IA; 4 otra declaración final; 5 suplementario; 6 otra; NA</t>
        </is>
      </c>
    </row>
    <row r="12" ht="15" customHeight="1">
      <c r="A12" s="37" t="inlineStr">
        <is>
          <t>D05</t>
        </is>
      </c>
      <c r="B12" s="37" t="inlineStr">
        <is>
          <t>Ubicación múltiple</t>
        </is>
      </c>
      <c r="C12" s="37" t="inlineStr">
        <is>
          <t>El uso se declara en más de una sección.</t>
        </is>
      </c>
      <c r="D12" s="37" t="inlineStr">
        <is>
          <t>0 = no; 1 = sí; NA</t>
        </is>
      </c>
    </row>
    <row r="13" ht="15" customHeight="1">
      <c r="A13" s="37" t="inlineStr">
        <is>
          <t>D06</t>
        </is>
      </c>
      <c r="B13" s="37" t="inlineStr">
        <is>
          <t>Extensión (palabras)</t>
        </is>
      </c>
      <c r="C13" s="37" t="inlineStr">
        <is>
          <t>Número de palabras de D03. Se calcula sola.</t>
        </is>
      </c>
      <c r="D13" s="37" t="inlineStr">
        <is>
          <t>Entero</t>
        </is>
      </c>
    </row>
    <row r="14" ht="15" customHeight="1">
      <c r="A14" s="37" t="inlineStr">
        <is>
          <t>D07</t>
        </is>
      </c>
      <c r="B14" s="37" t="inlineStr">
        <is>
          <t>Plantilla editorial</t>
        </is>
      </c>
      <c r="C14" s="37" t="inlineStr">
        <is>
          <t>La redacción reproduce una plantilla de la editorial.</t>
        </is>
      </c>
      <c r="D14" s="37" t="inlineStr">
        <is>
          <t>0 = no; 1 = sí; NA</t>
        </is>
      </c>
    </row>
    <row r="15" ht="15" customHeight="1">
      <c r="A15" s="37" t="inlineStr">
        <is>
          <t>E01</t>
        </is>
      </c>
      <c r="B15" s="37" t="inlineStr">
        <is>
          <t>N.º de herramientas</t>
        </is>
      </c>
      <c r="C15" s="37" t="inlineStr">
        <is>
          <t>Herramientas distintas declaradas.</t>
        </is>
      </c>
      <c r="D15" s="37" t="inlineStr">
        <is>
          <t>Entero (NA si D01 = 0)</t>
        </is>
      </c>
    </row>
    <row r="16" ht="15" customHeight="1">
      <c r="A16" s="37" t="inlineStr">
        <is>
          <t>E02</t>
        </is>
      </c>
      <c r="B16" s="37" t="inlineStr">
        <is>
          <t>Herramienta 1</t>
        </is>
      </c>
      <c r="C16" s="37" t="inlineStr">
        <is>
          <t>Nombre literal de la herramienta.</t>
        </is>
      </c>
      <c r="D16" s="37" t="inlineStr">
        <is>
          <t>Texto; NA</t>
        </is>
      </c>
    </row>
    <row r="17" ht="15" customHeight="1">
      <c r="A17" s="37" t="inlineStr">
        <is>
          <t>E03</t>
        </is>
      </c>
      <c r="B17" s="37" t="inlineStr">
        <is>
          <t>Herramienta 2</t>
        </is>
      </c>
      <c r="C17" s="37" t="inlineStr">
        <is>
          <t>Nombre literal.</t>
        </is>
      </c>
      <c r="D17" s="37" t="inlineStr">
        <is>
          <t>Texto; NA</t>
        </is>
      </c>
    </row>
    <row r="18" ht="15" customHeight="1">
      <c r="A18" s="37" t="inlineStr">
        <is>
          <t>E04</t>
        </is>
      </c>
      <c r="B18" s="37" t="inlineStr">
        <is>
          <t>Herramienta 3</t>
        </is>
      </c>
      <c r="C18" s="37" t="inlineStr">
        <is>
          <t>Nombre literal.</t>
        </is>
      </c>
      <c r="D18" s="37" t="inlineStr">
        <is>
          <t>Texto; NA</t>
        </is>
      </c>
    </row>
    <row r="19" ht="45" customHeight="1">
      <c r="A19" s="37" t="inlineStr">
        <is>
          <t>E05</t>
        </is>
      </c>
      <c r="B19" s="37" t="inlineStr">
        <is>
          <t>Tipo de herramienta</t>
        </is>
      </c>
      <c r="C19" s="37" t="inlineStr">
        <is>
          <t>Clasificación de E02.</t>
        </is>
      </c>
      <c r="D19" s="37" t="inlineStr">
        <is>
          <t>1 LLM conversacional; 2 asistente de escritura; 3 traductor; 4 asistente de código; 5 búsqueda o síntesis bibliográfica; 6 generador de imágenes; 7 otro; 8 no identificada; NA</t>
        </is>
      </c>
    </row>
    <row r="20" ht="15" customHeight="1">
      <c r="A20" s="37" t="inlineStr">
        <is>
          <t>E06</t>
        </is>
      </c>
      <c r="B20" s="37" t="inlineStr">
        <is>
          <t>Desarrollador</t>
        </is>
      </c>
      <c r="C20" s="37" t="inlineStr">
        <is>
          <t>Empresa de la herramienta principal.</t>
        </is>
      </c>
      <c r="D20" s="37" t="inlineStr">
        <is>
          <t>Texto; NA</t>
        </is>
      </c>
    </row>
    <row r="21" ht="15" customHeight="1">
      <c r="A21" s="37" t="inlineStr">
        <is>
          <t>E07</t>
        </is>
      </c>
      <c r="B21" s="37" t="inlineStr">
        <is>
          <t>Declara modelo/versión</t>
        </is>
      </c>
      <c r="C21" s="37" t="inlineStr">
        <is>
          <t>Informa modelo o versión.</t>
        </is>
      </c>
      <c r="D21" s="37" t="inlineStr">
        <is>
          <t>0 = no; 1 = sí; NA</t>
        </is>
      </c>
    </row>
    <row r="22" ht="15" customHeight="1">
      <c r="A22" s="37" t="inlineStr">
        <is>
          <t>E08</t>
        </is>
      </c>
      <c r="B22" s="37" t="inlineStr">
        <is>
          <t>Modelo o versión</t>
        </is>
      </c>
      <c r="C22" s="37" t="inlineStr">
        <is>
          <t>Texto literal.</t>
        </is>
      </c>
      <c r="D22" s="37" t="inlineStr">
        <is>
          <t>Texto; NA</t>
        </is>
      </c>
    </row>
    <row r="23" ht="15" customHeight="1">
      <c r="A23" s="37" t="inlineStr">
        <is>
          <t>E09</t>
        </is>
      </c>
      <c r="B23" s="37" t="inlineStr">
        <is>
          <t>Declara fecha de uso</t>
        </is>
      </c>
      <c r="C23" s="37" t="inlineStr">
        <is>
          <t>Informa fecha o periodo de uso.</t>
        </is>
      </c>
      <c r="D23" s="37" t="inlineStr">
        <is>
          <t>0 = no; 1 = sí; NA</t>
        </is>
      </c>
    </row>
    <row r="24" ht="15" customHeight="1">
      <c r="A24" s="37" t="inlineStr">
        <is>
          <t>E10</t>
        </is>
      </c>
      <c r="B24" s="37" t="inlineStr">
        <is>
          <t>IA generativa</t>
        </is>
      </c>
      <c r="C24" s="37" t="inlineStr">
        <is>
          <t>La herramienta principal es generativa.</t>
        </is>
      </c>
      <c r="D24" s="37" t="inlineStr">
        <is>
          <t>0 = no; 1 = sí; 9 = incierto; NA</t>
        </is>
      </c>
    </row>
    <row r="25" ht="15" customHeight="1">
      <c r="A25" s="37" t="inlineStr">
        <is>
          <t>F01</t>
        </is>
      </c>
      <c r="B25" s="37" t="inlineStr">
        <is>
          <t>Corrección gramatical</t>
        </is>
      </c>
      <c r="C25" s="37" t="inlineStr">
        <is>
          <t>Proofreading, grammar, spelling. Etapa 1.</t>
        </is>
      </c>
      <c r="D25" s="37" t="inlineStr">
        <is>
          <t>0 = no; 1 = sí; NA</t>
        </is>
      </c>
    </row>
    <row r="26" ht="15" customHeight="1">
      <c r="A26" s="37" t="inlineStr">
        <is>
          <t>F02</t>
        </is>
      </c>
      <c r="B26" s="37" t="inlineStr">
        <is>
          <t>Estilo o legibilidad</t>
        </is>
      </c>
      <c r="C26" s="37" t="inlineStr">
        <is>
          <t>Readability, language editing, clarity. Etapa 1.</t>
        </is>
      </c>
      <c r="D26" s="37" t="inlineStr">
        <is>
          <t>0 = no; 1 = sí; NA</t>
        </is>
      </c>
    </row>
    <row r="27" ht="15" customHeight="1">
      <c r="A27" s="37" t="inlineStr">
        <is>
          <t>F03</t>
        </is>
      </c>
      <c r="B27" s="37" t="inlineStr">
        <is>
          <t>Traducción</t>
        </is>
      </c>
      <c r="C27" s="37" t="inlineStr">
        <is>
          <t>Traducción total o parcial. Etapa 1.</t>
        </is>
      </c>
      <c r="D27" s="37" t="inlineStr">
        <is>
          <t>0 = no; 1 = sí; NA</t>
        </is>
      </c>
    </row>
    <row r="28" ht="15" customHeight="1">
      <c r="A28" s="37" t="inlineStr">
        <is>
          <t>F04</t>
        </is>
      </c>
      <c r="B28" s="37" t="inlineStr">
        <is>
          <t>Reescritura o paráfrasis</t>
        </is>
      </c>
      <c r="C28" s="37" t="inlineStr">
        <is>
          <t>Reformular texto de los autores. Etapa 2.</t>
        </is>
      </c>
      <c r="D28" s="37" t="inlineStr">
        <is>
          <t>0 = no; 1 = sí; NA</t>
        </is>
      </c>
    </row>
    <row r="29" ht="15" customHeight="1">
      <c r="A29" s="37" t="inlineStr">
        <is>
          <t>F05</t>
        </is>
      </c>
      <c r="B29" s="37" t="inlineStr">
        <is>
          <t>Redacción de fragmentos</t>
        </is>
      </c>
      <c r="C29" s="37" t="inlineStr">
        <is>
          <t>Generar texto nuevo del manuscrito. Etapa 2.</t>
        </is>
      </c>
      <c r="D29" s="37" t="inlineStr">
        <is>
          <t>0 = no; 1 = sí; NA</t>
        </is>
      </c>
    </row>
    <row r="30" ht="15" customHeight="1">
      <c r="A30" s="37" t="inlineStr">
        <is>
          <t>F06</t>
        </is>
      </c>
      <c r="B30" s="37" t="inlineStr">
        <is>
          <t>Síntesis de literatura</t>
        </is>
      </c>
      <c r="C30" s="37" t="inlineStr">
        <is>
          <t>Resumir artículos o antecedentes. Etapa 2.</t>
        </is>
      </c>
      <c r="D30" s="37" t="inlineStr">
        <is>
          <t>0 = no; 1 = sí; NA</t>
        </is>
      </c>
    </row>
    <row r="31" ht="15" customHeight="1">
      <c r="A31" s="37" t="inlineStr">
        <is>
          <t>F07</t>
        </is>
      </c>
      <c r="B31" s="37" t="inlineStr">
        <is>
          <t>Búsqueda bibliográfica</t>
        </is>
      </c>
      <c r="C31" s="37" t="inlineStr">
        <is>
          <t>Identificar o seleccionar fuentes. Etapa 2.</t>
        </is>
      </c>
      <c r="D31" s="37" t="inlineStr">
        <is>
          <t>0 = no; 1 = sí; NA</t>
        </is>
      </c>
    </row>
    <row r="32" ht="15" customHeight="1">
      <c r="A32" s="37" t="inlineStr">
        <is>
          <t>F08</t>
        </is>
      </c>
      <c r="B32" s="37" t="inlineStr">
        <is>
          <t>Ideas o hipótesis</t>
        </is>
      </c>
      <c r="C32" s="37" t="inlineStr">
        <is>
          <t>Generar preguntas, ideas o hipótesis. Etapa 5.</t>
        </is>
      </c>
      <c r="D32" s="37" t="inlineStr">
        <is>
          <t>0 = no; 1 = sí; NA</t>
        </is>
      </c>
    </row>
    <row r="33" ht="15" customHeight="1">
      <c r="A33" s="37" t="inlineStr">
        <is>
          <t>F09</t>
        </is>
      </c>
      <c r="B33" s="37" t="inlineStr">
        <is>
          <t>Programación</t>
        </is>
      </c>
      <c r="C33" s="37" t="inlineStr">
        <is>
          <t>Escribir, depurar u optimizar código. Etapa 3.</t>
        </is>
      </c>
      <c r="D33" s="37" t="inlineStr">
        <is>
          <t>0 = no; 1 = sí; NA</t>
        </is>
      </c>
    </row>
    <row r="34" ht="30" customHeight="1">
      <c r="A34" s="37" t="inlineStr">
        <is>
          <t>F10</t>
        </is>
      </c>
      <c r="B34" s="37" t="inlineStr">
        <is>
          <t>Análisis de datos</t>
        </is>
      </c>
      <c r="C34" s="37" t="inlineStr">
        <is>
          <t>Procesar, analizar o codificar datos, incluida la codificación cualitativa. Etapa 4.</t>
        </is>
      </c>
      <c r="D34" s="37" t="inlineStr">
        <is>
          <t>0 = no; 1 = sí; NA</t>
        </is>
      </c>
    </row>
    <row r="35" ht="15" customHeight="1">
      <c r="A35" s="37" t="inlineStr">
        <is>
          <t>F11</t>
        </is>
      </c>
      <c r="B35" s="37" t="inlineStr">
        <is>
          <t>Figuras o visualización</t>
        </is>
      </c>
      <c r="C35" s="37" t="inlineStr">
        <is>
          <t>Generar o editar figuras. Etapa 3.</t>
        </is>
      </c>
      <c r="D35" s="37" t="inlineStr">
        <is>
          <t>0 = no; 1 = sí; NA</t>
        </is>
      </c>
    </row>
    <row r="36" ht="15" customHeight="1">
      <c r="A36" s="37" t="inlineStr">
        <is>
          <t>F12</t>
        </is>
      </c>
      <c r="B36" s="37" t="inlineStr">
        <is>
          <t>Interpretación</t>
        </is>
      </c>
      <c r="C36" s="37" t="inlineStr">
        <is>
          <t>Interpretar o explicar resultados. Etapa 5.</t>
        </is>
      </c>
      <c r="D36" s="37" t="inlineStr">
        <is>
          <t>0 = no; 1 = sí; NA</t>
        </is>
      </c>
    </row>
    <row r="37" ht="15" customHeight="1">
      <c r="A37" s="37" t="inlineStr">
        <is>
          <t>F13</t>
        </is>
      </c>
      <c r="B37" s="37" t="inlineStr">
        <is>
          <t>Diseño metodológico</t>
        </is>
      </c>
      <c r="C37" s="37" t="inlineStr">
        <is>
          <t>Diseñar estudio, instrumento o protocolo. Etapa 4.</t>
        </is>
      </c>
      <c r="D37" s="37" t="inlineStr">
        <is>
          <t>0 = no; 1 = sí; NA</t>
        </is>
      </c>
    </row>
    <row r="38" ht="15" customHeight="1">
      <c r="A38" s="37" t="inlineStr">
        <is>
          <t>F14</t>
        </is>
      </c>
      <c r="B38" s="37" t="inlineStr">
        <is>
          <t>Tablas y referencias</t>
        </is>
      </c>
      <c r="C38" s="37" t="inlineStr">
        <is>
          <t>Formatear tablas o referencias. Etapa 3.</t>
        </is>
      </c>
      <c r="D38" s="37" t="inlineStr">
        <is>
          <t>0 = no; 1 = sí; NA</t>
        </is>
      </c>
    </row>
    <row r="39" ht="30" customHeight="1">
      <c r="A39" s="37" t="inlineStr">
        <is>
          <t>F15</t>
        </is>
      </c>
      <c r="B39" s="37" t="inlineStr">
        <is>
          <t>Propósito no especificado</t>
        </is>
      </c>
      <c r="C39" s="37" t="inlineStr">
        <is>
          <t>Declara uso sin indicar para qué (no basta "to prepare the manuscript"). Código 9 de D_IA.</t>
        </is>
      </c>
      <c r="D39" s="37" t="inlineStr">
        <is>
          <t>0 = no; 1 = sí; NA</t>
        </is>
      </c>
    </row>
    <row r="40" ht="30" customHeight="1">
      <c r="A40" s="37" t="inlineStr">
        <is>
          <t>F16</t>
        </is>
      </c>
      <c r="B40" s="37" t="inlineStr">
        <is>
          <t>Otro uso</t>
        </is>
      </c>
      <c r="C40" s="37" t="inlineStr">
        <is>
          <t>Uso no previsto en F01 a F15; describir en F16_txt y llevarlo a la bitácora.</t>
        </is>
      </c>
      <c r="D40" s="37" t="inlineStr">
        <is>
          <t>0 = no; 1 = sí; NA</t>
        </is>
      </c>
    </row>
    <row r="41" ht="15" customHeight="1">
      <c r="A41" s="37" t="inlineStr">
        <is>
          <t>F16_txt</t>
        </is>
      </c>
      <c r="B41" s="37" t="inlineStr">
        <is>
          <t>Otro uso (texto)</t>
        </is>
      </c>
      <c r="C41" s="37" t="inlineStr">
        <is>
          <t>Descripción del uso no previsto.</t>
        </is>
      </c>
      <c r="D41" s="37" t="inlineStr">
        <is>
          <t>Texto; NA</t>
        </is>
      </c>
    </row>
    <row r="42" ht="30" customHeight="1">
      <c r="A42" s="37" t="inlineStr">
        <is>
          <t>G06</t>
        </is>
      </c>
      <c r="B42" s="37" t="inlineStr">
        <is>
          <t>D_IA (profundidad)</t>
        </is>
      </c>
      <c r="C42" s="37" t="inlineStr">
        <is>
          <t>Etapa más profunda declarada (sección 7.3). Se calcula sola desde el bloque F.</t>
        </is>
      </c>
      <c r="D42" s="37" t="inlineStr">
        <is>
          <t>0 a 5; 9</t>
        </is>
      </c>
    </row>
    <row r="43" ht="15" customHeight="1">
      <c r="A43" s="37" t="inlineStr">
        <is>
          <t>G07</t>
        </is>
      </c>
      <c r="B43" s="37" t="inlineStr">
        <is>
          <t>A_IA (amplitud)</t>
        </is>
      </c>
      <c r="C43" s="37" t="inlineStr">
        <is>
          <t>Número de usos distintos (F01 a F14). Se calcula sola.</t>
        </is>
      </c>
      <c r="D43" s="37" t="inlineStr">
        <is>
          <t>0 a 14</t>
        </is>
      </c>
    </row>
    <row r="44" ht="15" customHeight="1">
      <c r="A44" s="37" t="inlineStr">
        <is>
          <t>H01</t>
        </is>
      </c>
      <c r="B44" s="37" t="inlineStr">
        <is>
          <t>T: herramienta</t>
        </is>
      </c>
      <c r="C44" s="37" t="inlineStr">
        <is>
          <t>Identifica la herramienta por su nombre.</t>
        </is>
      </c>
      <c r="D44" s="37" t="inlineStr">
        <is>
          <t>0; 1; NA</t>
        </is>
      </c>
    </row>
    <row r="45" ht="15" customHeight="1">
      <c r="A45" s="37" t="inlineStr">
        <is>
          <t>H02</t>
        </is>
      </c>
      <c r="B45" s="37" t="inlineStr">
        <is>
          <t>V: versión</t>
        </is>
      </c>
      <c r="C45" s="37" t="inlineStr">
        <is>
          <t>Identifica modelo o versión (debe coincidir con E07).</t>
        </is>
      </c>
      <c r="D45" s="37" t="inlineStr">
        <is>
          <t>0; 1; NA</t>
        </is>
      </c>
    </row>
    <row r="46" ht="15" customHeight="1">
      <c r="A46" s="37" t="inlineStr">
        <is>
          <t>H03</t>
        </is>
      </c>
      <c r="B46" s="37" t="inlineStr">
        <is>
          <t>P: propósito</t>
        </is>
      </c>
      <c r="C46" s="37" t="inlineStr">
        <is>
          <t>Especifica el propósito del uso (no basta "to prepare the manuscript").</t>
        </is>
      </c>
      <c r="D46" s="37" t="inlineStr">
        <is>
          <t>0; 1; NA</t>
        </is>
      </c>
    </row>
    <row r="47" ht="15" customHeight="1">
      <c r="A47" s="37" t="inlineStr">
        <is>
          <t>H04</t>
        </is>
      </c>
      <c r="B47" s="37" t="inlineStr">
        <is>
          <t>E: extensión</t>
        </is>
      </c>
      <c r="C47" s="37" t="inlineStr">
        <is>
          <t>Especifica la extensión: secciones, tareas o partes afectadas.</t>
        </is>
      </c>
      <c r="D47" s="37" t="inlineStr">
        <is>
          <t>0; 1; NA</t>
        </is>
      </c>
    </row>
    <row r="48" ht="15" customHeight="1">
      <c r="A48" s="37" t="inlineStr">
        <is>
          <t>H05</t>
        </is>
      </c>
      <c r="B48" s="37" t="inlineStr">
        <is>
          <t>S: supervisión</t>
        </is>
      </c>
      <c r="C48" s="37" t="inlineStr">
        <is>
          <t>Declara supervisión humana (revisión, edición o verificación).</t>
        </is>
      </c>
      <c r="D48" s="37" t="inlineStr">
        <is>
          <t>0; 1; NA</t>
        </is>
      </c>
    </row>
    <row r="49" ht="15" customHeight="1">
      <c r="A49" s="37" t="inlineStr">
        <is>
          <t>H06</t>
        </is>
      </c>
      <c r="B49" s="37" t="inlineStr">
        <is>
          <t>Responsabilidad</t>
        </is>
      </c>
      <c r="C49" s="37" t="inlineStr">
        <is>
          <t>Los autores asumen explícitamente la responsabilidad del contenido.</t>
        </is>
      </c>
      <c r="D49" s="37" t="inlineStr">
        <is>
          <t>0; 1; NA</t>
        </is>
      </c>
    </row>
    <row r="50" ht="15" customHeight="1">
      <c r="A50" s="37" t="inlineStr">
        <is>
          <t>H07</t>
        </is>
      </c>
      <c r="B50" s="37" t="inlineStr">
        <is>
          <t>Prompts disponibles</t>
        </is>
      </c>
      <c r="C50" s="37" t="inlineStr">
        <is>
          <t>Informa o adjunta los prompts o interacciones.</t>
        </is>
      </c>
      <c r="D50" s="37" t="inlineStr">
        <is>
          <t>0; 1; NA</t>
        </is>
      </c>
    </row>
    <row r="51" ht="15" customHeight="1">
      <c r="A51" s="37" t="inlineStr">
        <is>
          <t>H08</t>
        </is>
      </c>
      <c r="B51" s="37" t="inlineStr">
        <is>
          <t>Q_IA</t>
        </is>
      </c>
      <c r="C51" s="37" t="inlineStr">
        <is>
          <t>Suma de H01 a H05. Se calcula sola.</t>
        </is>
      </c>
      <c r="D51" s="37" t="inlineStr">
        <is>
          <t>0 a 5</t>
        </is>
      </c>
    </row>
    <row r="52" ht="30" customHeight="1">
      <c r="A52" s="37" t="inlineStr">
        <is>
          <t>XE1</t>
        </is>
      </c>
      <c r="B52" s="37" t="inlineStr">
        <is>
          <t>Subárea</t>
        </is>
      </c>
      <c r="C52" s="37" t="inlineStr">
        <is>
          <t>Subárea dentro de Educación.</t>
        </is>
      </c>
      <c r="D52" s="37" t="inlineStr">
        <is>
          <t>1 investigación educativa general; 2 educación en disciplinas científicas; 3 educación especial; 4 psicología educacional</t>
        </is>
      </c>
    </row>
    <row r="53" ht="15" customHeight="1">
      <c r="A53" s="37" t="inlineStr">
        <is>
          <t>XE2</t>
        </is>
      </c>
      <c r="B53" s="37" t="inlineStr">
        <is>
          <t>Nivel educativo</t>
        </is>
      </c>
      <c r="C53" s="37" t="inlineStr">
        <is>
          <t>Nivel educativo estudiado.</t>
        </is>
      </c>
      <c r="D53" s="37" t="inlineStr">
        <is>
          <t>1 escolar; 2 superior; 3 formación docente; 4 otro</t>
        </is>
      </c>
    </row>
    <row r="54" ht="30" customHeight="1">
      <c r="A54" s="37" t="inlineStr">
        <is>
          <t>XE3</t>
        </is>
      </c>
      <c r="B54" s="37" t="inlineStr">
        <is>
          <t>Enfoque de datos</t>
        </is>
      </c>
      <c r="C54" s="37" t="inlineStr">
        <is>
          <t>Tipo de datos del estudio.</t>
        </is>
      </c>
      <c r="D54" s="37" t="inlineStr">
        <is>
          <t>1 encuesta o test; 2 entrevistas o grupos focales; 3 observación o documentos; 4 datos de plataformas; 5 mixto</t>
        </is>
      </c>
    </row>
    <row r="55" ht="15" customHeight="1">
      <c r="A55" s="37" t="inlineStr">
        <is>
          <t>J01</t>
        </is>
      </c>
      <c r="B55" s="37" t="inlineStr">
        <is>
          <t>Duda de codificación</t>
        </is>
      </c>
      <c r="C55" s="37" t="inlineStr">
        <is>
          <t>Variable y motivo de la duda.</t>
        </is>
      </c>
      <c r="D55" s="37" t="inlineStr">
        <is>
          <t>Texto</t>
        </is>
      </c>
    </row>
    <row r="56" ht="15" customHeight="1">
      <c r="A56" s="37" t="inlineStr">
        <is>
          <t>J02</t>
        </is>
      </c>
      <c r="B56" s="37" t="inlineStr">
        <is>
          <t>Observación</t>
        </is>
      </c>
      <c r="C56" s="37" t="inlineStr">
        <is>
          <t>Información relevante no prevista en el libro de códigos.</t>
        </is>
      </c>
      <c r="D56" s="37" t="inlineStr">
        <is>
          <t>Texto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2026-10-15T21:22:20Z</dcterms:created>
  <dcterms:modified xmlns:dcterms="http://purl.org/dc/terms/" xmlns:xsi="http://www.w3.org/2001/XMLSchema-instance" xsi:type="dcterms:W3CDTF">2026-10-15T21:22:20Z</dcterms:modified>
</cp:coreProperties>
</file>